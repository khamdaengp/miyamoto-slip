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yamoto\"/>
    </mc:Choice>
  </mc:AlternateContent>
  <xr:revisionPtr revIDLastSave="0" documentId="8_{9DAD404E-68BA-4908-B941-D81B720A5AEC}" xr6:coauthVersionLast="47" xr6:coauthVersionMax="47" xr10:uidLastSave="{00000000-0000-0000-0000-000000000000}"/>
  <bookViews>
    <workbookView xWindow="-20160" yWindow="1440" windowWidth="16200" windowHeight="9210" tabRatio="500" xr2:uid="{00000000-000D-0000-FFFF-FFFF00000000}"/>
  </bookViews>
  <sheets>
    <sheet name="TAX" sheetId="1" r:id="rId1"/>
    <sheet name="OT" sheetId="2" r:id="rId2"/>
    <sheet name="เงินกะ" sheetId="3" r:id="rId3"/>
    <sheet name="ขาด-ลา-มาสาย" sheetId="4" r:id="rId4"/>
    <sheet name="ເອກະສານແຈ້ງອາກອນ" sheetId="5" r:id="rId5"/>
    <sheet name="SLIP" sheetId="6" r:id="rId6"/>
    <sheet name="Sheet1" sheetId="7" r:id="rId7"/>
  </sheets>
  <definedNames>
    <definedName name="_xlnm._FilterDatabase" localSheetId="4" hidden="1">ເອກະສານແຈ້ງອາກອນ!$A$7:$J$120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6" l="1"/>
  <c r="C24" i="6" a="1"/>
  <c r="D20" i="6"/>
  <c r="D19" i="6"/>
  <c r="D18" i="6"/>
  <c r="D17" i="6"/>
  <c r="D16" i="6"/>
  <c r="D15" i="6"/>
  <c r="D14" i="6"/>
  <c r="D13" i="6"/>
  <c r="D10" i="6"/>
  <c r="C10" i="6" a="1"/>
  <c r="H8" i="6"/>
  <c r="H10" i="6" s="1"/>
  <c r="AB5" i="6"/>
  <c r="I119" i="5"/>
  <c r="F116" i="5"/>
  <c r="E116" i="5"/>
  <c r="C116" i="5" a="1"/>
  <c r="C116" i="5" s="1"/>
  <c r="F115" i="5"/>
  <c r="E115" i="5"/>
  <c r="C115" i="5" a="1"/>
  <c r="C115" i="5" s="1"/>
  <c r="F114" i="5"/>
  <c r="E114" i="5"/>
  <c r="C114" i="5" a="1"/>
  <c r="C114" i="5" s="1"/>
  <c r="F113" i="5"/>
  <c r="E113" i="5"/>
  <c r="C113" i="5" a="1"/>
  <c r="C113" i="5" s="1"/>
  <c r="B111" i="5" a="1"/>
  <c r="B112" i="5" s="1"/>
  <c r="B111" i="5"/>
  <c r="G110" i="5"/>
  <c r="F108" i="5"/>
  <c r="E108" i="5"/>
  <c r="F107" i="5"/>
  <c r="E107" i="5"/>
  <c r="C107" i="5" a="1"/>
  <c r="C107" i="5" s="1"/>
  <c r="F106" i="5"/>
  <c r="E106" i="5"/>
  <c r="C106" i="5" a="1"/>
  <c r="C106" i="5" s="1"/>
  <c r="F105" i="5"/>
  <c r="E105" i="5"/>
  <c r="C105" i="5" a="1"/>
  <c r="C105" i="5" s="1"/>
  <c r="F104" i="5"/>
  <c r="E104" i="5"/>
  <c r="C104" i="5" a="1"/>
  <c r="C104" i="5" s="1"/>
  <c r="F103" i="5"/>
  <c r="E103" i="5"/>
  <c r="C103" i="5" a="1"/>
  <c r="C103" i="5" s="1"/>
  <c r="F102" i="5"/>
  <c r="E102" i="5"/>
  <c r="C102" i="5" a="1"/>
  <c r="C102" i="5" s="1"/>
  <c r="F101" i="5"/>
  <c r="E101" i="5"/>
  <c r="C101" i="5" a="1"/>
  <c r="C101" i="5" s="1"/>
  <c r="F100" i="5"/>
  <c r="E100" i="5"/>
  <c r="C100" i="5" a="1"/>
  <c r="C100" i="5" s="1"/>
  <c r="F99" i="5"/>
  <c r="E99" i="5"/>
  <c r="C99" i="5" a="1"/>
  <c r="C99" i="5" s="1"/>
  <c r="F98" i="5"/>
  <c r="E98" i="5"/>
  <c r="C98" i="5" a="1"/>
  <c r="C98" i="5" s="1"/>
  <c r="F97" i="5"/>
  <c r="E97" i="5"/>
  <c r="C97" i="5" a="1"/>
  <c r="C97" i="5" s="1"/>
  <c r="F96" i="5"/>
  <c r="E96" i="5"/>
  <c r="C96" i="5" a="1"/>
  <c r="C96" i="5" s="1"/>
  <c r="F95" i="5"/>
  <c r="E95" i="5"/>
  <c r="C95" i="5" a="1"/>
  <c r="C95" i="5" s="1"/>
  <c r="F94" i="5"/>
  <c r="E94" i="5"/>
  <c r="C94" i="5" a="1"/>
  <c r="C94" i="5" s="1"/>
  <c r="F93" i="5"/>
  <c r="E93" i="5"/>
  <c r="C93" i="5" a="1"/>
  <c r="C93" i="5" s="1"/>
  <c r="F92" i="5"/>
  <c r="E92" i="5"/>
  <c r="C92" i="5" a="1"/>
  <c r="C92" i="5"/>
  <c r="F91" i="5"/>
  <c r="E91" i="5"/>
  <c r="C91" i="5" a="1"/>
  <c r="C91" i="5"/>
  <c r="F90" i="5"/>
  <c r="E90" i="5"/>
  <c r="C90" i="5" a="1"/>
  <c r="C90" i="5"/>
  <c r="F89" i="5"/>
  <c r="E89" i="5"/>
  <c r="C89" i="5" a="1"/>
  <c r="C89" i="5"/>
  <c r="F88" i="5"/>
  <c r="E88" i="5"/>
  <c r="C88" i="5" a="1"/>
  <c r="C88" i="5"/>
  <c r="F87" i="5"/>
  <c r="E87" i="5"/>
  <c r="C87" i="5" a="1"/>
  <c r="C87" i="5"/>
  <c r="F86" i="5"/>
  <c r="E86" i="5"/>
  <c r="C86" i="5" a="1"/>
  <c r="C86" i="5"/>
  <c r="F85" i="5"/>
  <c r="E85" i="5"/>
  <c r="C85" i="5" a="1"/>
  <c r="C85" i="5"/>
  <c r="F84" i="5"/>
  <c r="E84" i="5"/>
  <c r="C84" i="5" a="1"/>
  <c r="C84" i="5" s="1"/>
  <c r="F83" i="5"/>
  <c r="E83" i="5"/>
  <c r="C83" i="5" a="1"/>
  <c r="C83" i="5" s="1"/>
  <c r="F82" i="5"/>
  <c r="E82" i="5"/>
  <c r="C82" i="5" a="1"/>
  <c r="C82" i="5" s="1"/>
  <c r="F81" i="5"/>
  <c r="E81" i="5"/>
  <c r="C81" i="5" a="1"/>
  <c r="C81" i="5" s="1"/>
  <c r="F80" i="5"/>
  <c r="E80" i="5"/>
  <c r="C80" i="5" a="1"/>
  <c r="C80" i="5" s="1"/>
  <c r="B9" i="5" a="1"/>
  <c r="B9" i="5" s="1"/>
  <c r="V101" i="4"/>
  <c r="S101" i="4"/>
  <c r="P101" i="4"/>
  <c r="M101" i="4"/>
  <c r="L101" i="4"/>
  <c r="J101" i="4"/>
  <c r="I101" i="4"/>
  <c r="W100" i="4"/>
  <c r="T100" i="4"/>
  <c r="Q100" i="4"/>
  <c r="N100" i="4"/>
  <c r="K100" i="4"/>
  <c r="W99" i="4"/>
  <c r="T99" i="4"/>
  <c r="Q99" i="4"/>
  <c r="N99" i="4"/>
  <c r="K99" i="4"/>
  <c r="W98" i="4"/>
  <c r="T98" i="4"/>
  <c r="Q98" i="4"/>
  <c r="N98" i="4"/>
  <c r="K98" i="4"/>
  <c r="W97" i="4"/>
  <c r="T97" i="4"/>
  <c r="Q97" i="4"/>
  <c r="N97" i="4"/>
  <c r="K97" i="4"/>
  <c r="W96" i="4"/>
  <c r="T96" i="4"/>
  <c r="Q96" i="4"/>
  <c r="N96" i="4"/>
  <c r="K96" i="4"/>
  <c r="W95" i="4"/>
  <c r="T95" i="4"/>
  <c r="Q95" i="4"/>
  <c r="N95" i="4"/>
  <c r="K95" i="4"/>
  <c r="W94" i="4"/>
  <c r="T94" i="4"/>
  <c r="Q94" i="4"/>
  <c r="N94" i="4"/>
  <c r="K94" i="4"/>
  <c r="W93" i="4"/>
  <c r="T93" i="4"/>
  <c r="Q93" i="4"/>
  <c r="N93" i="4"/>
  <c r="K93" i="4"/>
  <c r="W92" i="4"/>
  <c r="T92" i="4"/>
  <c r="Q92" i="4"/>
  <c r="N92" i="4"/>
  <c r="K92" i="4"/>
  <c r="W91" i="4"/>
  <c r="T91" i="4"/>
  <c r="Q91" i="4"/>
  <c r="N91" i="4"/>
  <c r="K91" i="4"/>
  <c r="W90" i="4"/>
  <c r="T90" i="4"/>
  <c r="Q90" i="4"/>
  <c r="N90" i="4"/>
  <c r="K90" i="4"/>
  <c r="W89" i="4"/>
  <c r="T89" i="4"/>
  <c r="Q89" i="4"/>
  <c r="N89" i="4"/>
  <c r="K89" i="4"/>
  <c r="W88" i="4"/>
  <c r="T88" i="4"/>
  <c r="Q88" i="4"/>
  <c r="N88" i="4"/>
  <c r="K88" i="4"/>
  <c r="W87" i="4"/>
  <c r="T87" i="4"/>
  <c r="Q87" i="4"/>
  <c r="N87" i="4"/>
  <c r="K87" i="4"/>
  <c r="W86" i="4"/>
  <c r="T86" i="4"/>
  <c r="Q86" i="4"/>
  <c r="N86" i="4"/>
  <c r="K86" i="4"/>
  <c r="W85" i="4"/>
  <c r="T85" i="4"/>
  <c r="Q85" i="4"/>
  <c r="N85" i="4"/>
  <c r="K85" i="4"/>
  <c r="W84" i="4"/>
  <c r="T84" i="4"/>
  <c r="Q84" i="4"/>
  <c r="N84" i="4"/>
  <c r="K84" i="4"/>
  <c r="W83" i="4"/>
  <c r="T83" i="4"/>
  <c r="Q83" i="4"/>
  <c r="N83" i="4"/>
  <c r="K83" i="4"/>
  <c r="W82" i="4"/>
  <c r="T82" i="4"/>
  <c r="Q82" i="4"/>
  <c r="N82" i="4"/>
  <c r="K82" i="4"/>
  <c r="W81" i="4"/>
  <c r="T81" i="4"/>
  <c r="Q81" i="4"/>
  <c r="N81" i="4"/>
  <c r="K81" i="4"/>
  <c r="N80" i="4"/>
  <c r="K80" i="4"/>
  <c r="N79" i="4"/>
  <c r="K79" i="4"/>
  <c r="N78" i="4"/>
  <c r="K78" i="4"/>
  <c r="N77" i="4"/>
  <c r="K77" i="4"/>
  <c r="N76" i="4"/>
  <c r="K76" i="4"/>
  <c r="N75" i="4"/>
  <c r="K75" i="4"/>
  <c r="N74" i="4"/>
  <c r="K74" i="4"/>
  <c r="N73" i="4"/>
  <c r="K73" i="4"/>
  <c r="N72" i="4"/>
  <c r="K72" i="4"/>
  <c r="N71" i="4"/>
  <c r="K71" i="4"/>
  <c r="N70" i="4"/>
  <c r="K70" i="4"/>
  <c r="N69" i="4"/>
  <c r="K69" i="4"/>
  <c r="N68" i="4"/>
  <c r="K68" i="4"/>
  <c r="N67" i="4"/>
  <c r="K67" i="4"/>
  <c r="N66" i="4"/>
  <c r="K66" i="4"/>
  <c r="N65" i="4"/>
  <c r="K65" i="4"/>
  <c r="N64" i="4"/>
  <c r="K64" i="4"/>
  <c r="N63" i="4"/>
  <c r="K63" i="4"/>
  <c r="N62" i="4"/>
  <c r="K62" i="4"/>
  <c r="N61" i="4"/>
  <c r="K61" i="4"/>
  <c r="N60" i="4"/>
  <c r="K60" i="4"/>
  <c r="N59" i="4"/>
  <c r="K59" i="4"/>
  <c r="N58" i="4"/>
  <c r="K58" i="4"/>
  <c r="N57" i="4"/>
  <c r="K57" i="4"/>
  <c r="N56" i="4"/>
  <c r="K56" i="4"/>
  <c r="N55" i="4"/>
  <c r="K55" i="4"/>
  <c r="N54" i="4"/>
  <c r="K54" i="4"/>
  <c r="N53" i="4"/>
  <c r="K53" i="4"/>
  <c r="N52" i="4"/>
  <c r="K52" i="4"/>
  <c r="N51" i="4"/>
  <c r="K51" i="4"/>
  <c r="N50" i="4"/>
  <c r="K50" i="4"/>
  <c r="N49" i="4"/>
  <c r="K49" i="4"/>
  <c r="N48" i="4"/>
  <c r="K48" i="4"/>
  <c r="N47" i="4"/>
  <c r="K47" i="4"/>
  <c r="N46" i="4"/>
  <c r="K46" i="4"/>
  <c r="N45" i="4"/>
  <c r="K45" i="4"/>
  <c r="N44" i="4"/>
  <c r="K44" i="4"/>
  <c r="N43" i="4"/>
  <c r="K43" i="4"/>
  <c r="N42" i="4"/>
  <c r="K42" i="4"/>
  <c r="N41" i="4"/>
  <c r="K41" i="4"/>
  <c r="N40" i="4"/>
  <c r="K40" i="4"/>
  <c r="N39" i="4"/>
  <c r="K39" i="4"/>
  <c r="N38" i="4"/>
  <c r="K38" i="4"/>
  <c r="N37" i="4"/>
  <c r="K37" i="4"/>
  <c r="N36" i="4"/>
  <c r="K36" i="4"/>
  <c r="N35" i="4"/>
  <c r="K35" i="4"/>
  <c r="N34" i="4"/>
  <c r="K34" i="4"/>
  <c r="N33" i="4"/>
  <c r="K33" i="4"/>
  <c r="N32" i="4"/>
  <c r="K32" i="4"/>
  <c r="N31" i="4"/>
  <c r="K31" i="4"/>
  <c r="N30" i="4"/>
  <c r="K30" i="4"/>
  <c r="N29" i="4"/>
  <c r="K29" i="4"/>
  <c r="N28" i="4"/>
  <c r="K28" i="4"/>
  <c r="N27" i="4"/>
  <c r="K27" i="4"/>
  <c r="N26" i="4"/>
  <c r="K26" i="4"/>
  <c r="N25" i="4"/>
  <c r="K25" i="4"/>
  <c r="N24" i="4"/>
  <c r="K24" i="4"/>
  <c r="N23" i="4"/>
  <c r="K23" i="4"/>
  <c r="N22" i="4"/>
  <c r="K22" i="4"/>
  <c r="N21" i="4"/>
  <c r="K21" i="4"/>
  <c r="N20" i="4"/>
  <c r="K20" i="4"/>
  <c r="N19" i="4"/>
  <c r="K19" i="4"/>
  <c r="N18" i="4"/>
  <c r="K18" i="4"/>
  <c r="N17" i="4"/>
  <c r="K17" i="4"/>
  <c r="N16" i="4"/>
  <c r="K16" i="4"/>
  <c r="N15" i="4"/>
  <c r="K15" i="4"/>
  <c r="N14" i="4"/>
  <c r="K14" i="4"/>
  <c r="N13" i="4"/>
  <c r="K13" i="4"/>
  <c r="N12" i="4"/>
  <c r="K12" i="4"/>
  <c r="N11" i="4"/>
  <c r="K11" i="4"/>
  <c r="N10" i="4"/>
  <c r="K10" i="4"/>
  <c r="N9" i="4"/>
  <c r="K9" i="4"/>
  <c r="N8" i="4"/>
  <c r="K8" i="4"/>
  <c r="V7" i="4"/>
  <c r="S7" i="4"/>
  <c r="P7" i="4"/>
  <c r="M7" i="4"/>
  <c r="L7" i="4"/>
  <c r="J7" i="4"/>
  <c r="I7" i="4"/>
  <c r="L101" i="3"/>
  <c r="J81" i="3"/>
  <c r="K81" i="3" s="1"/>
  <c r="M81" i="3" s="1"/>
  <c r="L7" i="3"/>
  <c r="V117" i="2"/>
  <c r="U117" i="2"/>
  <c r="T117" i="2"/>
  <c r="Q117" i="2"/>
  <c r="N117" i="2"/>
  <c r="K117" i="2"/>
  <c r="S82" i="2"/>
  <c r="R81" i="2"/>
  <c r="S81" i="2" s="1"/>
  <c r="AE139" i="1"/>
  <c r="AD103" i="1"/>
  <c r="AH99" i="1"/>
  <c r="AF99" i="1"/>
  <c r="U99" i="1"/>
  <c r="M99" i="1"/>
  <c r="G99" i="1"/>
  <c r="AO97" i="1"/>
  <c r="AL97" i="1"/>
  <c r="AD97" i="1"/>
  <c r="Z97" i="1"/>
  <c r="Y97" i="1"/>
  <c r="X97" i="1"/>
  <c r="W97" i="1"/>
  <c r="V97" i="1"/>
  <c r="T97" i="1"/>
  <c r="AD96" i="1"/>
  <c r="Z96" i="1"/>
  <c r="Y96" i="1"/>
  <c r="X96" i="1"/>
  <c r="W96" i="1"/>
  <c r="V96" i="1"/>
  <c r="AA96" i="1" s="1"/>
  <c r="AB96" i="1" s="1"/>
  <c r="AE96" i="1" s="1"/>
  <c r="AG96" i="1" s="1"/>
  <c r="AD95" i="1"/>
  <c r="Z95" i="1"/>
  <c r="Y95" i="1"/>
  <c r="X95" i="1"/>
  <c r="W95" i="1"/>
  <c r="V95" i="1"/>
  <c r="AD94" i="1"/>
  <c r="Z94" i="1"/>
  <c r="Y94" i="1"/>
  <c r="X94" i="1"/>
  <c r="W94" i="1"/>
  <c r="V94" i="1"/>
  <c r="AD93" i="1"/>
  <c r="Z93" i="1"/>
  <c r="Y93" i="1"/>
  <c r="X93" i="1"/>
  <c r="W93" i="1"/>
  <c r="V93" i="1"/>
  <c r="AD92" i="1"/>
  <c r="Z92" i="1"/>
  <c r="Y92" i="1"/>
  <c r="X92" i="1"/>
  <c r="W92" i="1"/>
  <c r="V92" i="1"/>
  <c r="AD91" i="1"/>
  <c r="Z91" i="1"/>
  <c r="Y91" i="1"/>
  <c r="X91" i="1"/>
  <c r="W91" i="1"/>
  <c r="V91" i="1"/>
  <c r="AD90" i="1"/>
  <c r="Z90" i="1"/>
  <c r="Y90" i="1"/>
  <c r="X90" i="1"/>
  <c r="W90" i="1"/>
  <c r="V90" i="1"/>
  <c r="AD89" i="1"/>
  <c r="Z89" i="1"/>
  <c r="Y89" i="1"/>
  <c r="X89" i="1"/>
  <c r="W89" i="1"/>
  <c r="V89" i="1"/>
  <c r="AD88" i="1"/>
  <c r="Z88" i="1"/>
  <c r="Y88" i="1"/>
  <c r="X88" i="1"/>
  <c r="W88" i="1"/>
  <c r="V88" i="1"/>
  <c r="J88" i="1"/>
  <c r="I88" i="1"/>
  <c r="AD87" i="1"/>
  <c r="Z87" i="1"/>
  <c r="Y87" i="1"/>
  <c r="X87" i="1"/>
  <c r="W87" i="1"/>
  <c r="V87" i="1"/>
  <c r="J87" i="1"/>
  <c r="I87" i="1"/>
  <c r="AD86" i="1"/>
  <c r="Z86" i="1"/>
  <c r="Y86" i="1"/>
  <c r="X86" i="1"/>
  <c r="W86" i="1"/>
  <c r="V86" i="1"/>
  <c r="J86" i="1"/>
  <c r="I86" i="1"/>
  <c r="AD85" i="1"/>
  <c r="Z85" i="1"/>
  <c r="Y85" i="1"/>
  <c r="X85" i="1"/>
  <c r="W85" i="1"/>
  <c r="V85" i="1"/>
  <c r="J85" i="1"/>
  <c r="I85" i="1"/>
  <c r="AD84" i="1"/>
  <c r="Z84" i="1"/>
  <c r="Y84" i="1"/>
  <c r="X84" i="1"/>
  <c r="W84" i="1"/>
  <c r="V84" i="1"/>
  <c r="AA84" i="1" s="1"/>
  <c r="AB84" i="1" s="1"/>
  <c r="AE84" i="1" s="1"/>
  <c r="AG84" i="1" s="1"/>
  <c r="J84" i="1"/>
  <c r="I84" i="1"/>
  <c r="AD83" i="1"/>
  <c r="Z83" i="1"/>
  <c r="Y83" i="1"/>
  <c r="X83" i="1"/>
  <c r="W83" i="1"/>
  <c r="V83" i="1"/>
  <c r="J83" i="1"/>
  <c r="I83" i="1"/>
  <c r="AD82" i="1"/>
  <c r="Z82" i="1"/>
  <c r="Y82" i="1"/>
  <c r="X82" i="1"/>
  <c r="W82" i="1"/>
  <c r="V82" i="1"/>
  <c r="J82" i="1"/>
  <c r="I82" i="1"/>
  <c r="AD81" i="1"/>
  <c r="Z81" i="1"/>
  <c r="Y81" i="1"/>
  <c r="X81" i="1"/>
  <c r="W81" i="1"/>
  <c r="V81" i="1"/>
  <c r="J81" i="1"/>
  <c r="I81" i="1"/>
  <c r="AD80" i="1"/>
  <c r="Z80" i="1"/>
  <c r="Y80" i="1"/>
  <c r="X80" i="1"/>
  <c r="W80" i="1"/>
  <c r="V80" i="1"/>
  <c r="J80" i="1"/>
  <c r="I80" i="1"/>
  <c r="S79" i="1"/>
  <c r="Q79" i="1"/>
  <c r="P79" i="1"/>
  <c r="O79" i="1"/>
  <c r="N79" i="1"/>
  <c r="L79" i="1"/>
  <c r="S78" i="1"/>
  <c r="H78" i="1"/>
  <c r="H77" i="1"/>
  <c r="AL76" i="1"/>
  <c r="AL75" i="1"/>
  <c r="AL74" i="1"/>
  <c r="S74" i="1"/>
  <c r="R74" i="1"/>
  <c r="P74" i="1"/>
  <c r="O74" i="1"/>
  <c r="K74" i="1"/>
  <c r="AL73" i="1"/>
  <c r="S73" i="1"/>
  <c r="R73" i="1"/>
  <c r="S72" i="1"/>
  <c r="R72" i="1"/>
  <c r="Q72" i="1"/>
  <c r="P72" i="1"/>
  <c r="O72" i="1"/>
  <c r="K72" i="1"/>
  <c r="AL71" i="1"/>
  <c r="S71" i="1"/>
  <c r="K71" i="1"/>
  <c r="AL70" i="1"/>
  <c r="AL69" i="1"/>
  <c r="S69" i="1"/>
  <c r="D21" i="6" s="1"/>
  <c r="AL68" i="1"/>
  <c r="S68" i="1"/>
  <c r="K68" i="1"/>
  <c r="AL67" i="1"/>
  <c r="S67" i="1"/>
  <c r="K67" i="1"/>
  <c r="AL66" i="1"/>
  <c r="S66" i="1"/>
  <c r="K66" i="1"/>
  <c r="AL65" i="1"/>
  <c r="S65" i="1"/>
  <c r="R65" i="1"/>
  <c r="P65" i="1"/>
  <c r="O65" i="1"/>
  <c r="AL64" i="1"/>
  <c r="S64" i="1"/>
  <c r="AL63" i="1"/>
  <c r="AL62" i="1"/>
  <c r="AL61" i="1"/>
  <c r="AL60" i="1"/>
  <c r="S60" i="1"/>
  <c r="AL59" i="1"/>
  <c r="AL58" i="1"/>
  <c r="S58" i="1"/>
  <c r="AL57" i="1"/>
  <c r="AL56" i="1"/>
  <c r="S56" i="1"/>
  <c r="Q56" i="1"/>
  <c r="P56" i="1"/>
  <c r="O56" i="1"/>
  <c r="K56" i="1"/>
  <c r="AL55" i="1"/>
  <c r="S55" i="1"/>
  <c r="K55" i="1"/>
  <c r="AL54" i="1"/>
  <c r="K54" i="1"/>
  <c r="AL53" i="1"/>
  <c r="S53" i="1"/>
  <c r="K53" i="1"/>
  <c r="AL52" i="1"/>
  <c r="S52" i="1"/>
  <c r="K52" i="1"/>
  <c r="AL51" i="1"/>
  <c r="K51" i="1"/>
  <c r="AL50" i="1"/>
  <c r="S50" i="1"/>
  <c r="K50" i="1"/>
  <c r="AL49" i="1"/>
  <c r="S49" i="1"/>
  <c r="S48" i="1"/>
  <c r="Q48" i="1"/>
  <c r="P48" i="1"/>
  <c r="O48" i="1"/>
  <c r="N48" i="1"/>
  <c r="L48" i="1"/>
  <c r="K48" i="1"/>
  <c r="AL47" i="1"/>
  <c r="S47" i="1"/>
  <c r="K47" i="1"/>
  <c r="AL46" i="1"/>
  <c r="K46" i="1"/>
  <c r="AL45" i="1"/>
  <c r="S45" i="1"/>
  <c r="K45" i="1"/>
  <c r="AL44" i="1"/>
  <c r="S44" i="1"/>
  <c r="K44" i="1"/>
  <c r="AL43" i="1"/>
  <c r="S43" i="1"/>
  <c r="K43" i="1"/>
  <c r="AL42" i="1"/>
  <c r="K42" i="1"/>
  <c r="AL41" i="1"/>
  <c r="S41" i="1"/>
  <c r="K41" i="1"/>
  <c r="AL40" i="1"/>
  <c r="S40" i="1"/>
  <c r="K40" i="1"/>
  <c r="AL39" i="1"/>
  <c r="K39" i="1"/>
  <c r="AL38" i="1"/>
  <c r="S38" i="1"/>
  <c r="K38" i="1"/>
  <c r="AL37" i="1"/>
  <c r="S37" i="1"/>
  <c r="R37" i="1"/>
  <c r="Q37" i="1"/>
  <c r="P37" i="1"/>
  <c r="O37" i="1"/>
  <c r="K37" i="1"/>
  <c r="AL36" i="1"/>
  <c r="K36" i="1"/>
  <c r="AL35" i="1"/>
  <c r="S35" i="1"/>
  <c r="R35" i="1"/>
  <c r="P35" i="1"/>
  <c r="K35" i="1"/>
  <c r="AL34" i="1"/>
  <c r="S33" i="1"/>
  <c r="R33" i="1"/>
  <c r="Q33" i="1"/>
  <c r="P33" i="1"/>
  <c r="O33" i="1"/>
  <c r="N33" i="1"/>
  <c r="L33" i="1"/>
  <c r="K33" i="1"/>
  <c r="AL32" i="1"/>
  <c r="S32" i="1"/>
  <c r="R32" i="1"/>
  <c r="Q32" i="1"/>
  <c r="P32" i="1"/>
  <c r="O32" i="1"/>
  <c r="K32" i="1"/>
  <c r="K99" i="1" s="1"/>
  <c r="AL31" i="1"/>
  <c r="S31" i="1"/>
  <c r="AL30" i="1"/>
  <c r="S30" i="1"/>
  <c r="AL29" i="1"/>
  <c r="S28" i="1"/>
  <c r="R28" i="1"/>
  <c r="Q28" i="1"/>
  <c r="P28" i="1"/>
  <c r="O28" i="1"/>
  <c r="AL27" i="1"/>
  <c r="S27" i="1"/>
  <c r="AL26" i="1"/>
  <c r="S26" i="1"/>
  <c r="AL25" i="1"/>
  <c r="AL24" i="1"/>
  <c r="S24" i="1"/>
  <c r="AL23" i="1"/>
  <c r="S23" i="1"/>
  <c r="H22" i="1"/>
  <c r="AL21" i="1"/>
  <c r="S21" i="1"/>
  <c r="AL20" i="1"/>
  <c r="H19" i="1"/>
  <c r="AL18" i="1"/>
  <c r="S18" i="1"/>
  <c r="AL17" i="1"/>
  <c r="S16" i="1"/>
  <c r="AL15" i="1"/>
  <c r="S15" i="1"/>
  <c r="AL14" i="1"/>
  <c r="AL13" i="1"/>
  <c r="AL12" i="1"/>
  <c r="AL11" i="1"/>
  <c r="R10" i="1"/>
  <c r="R99" i="1" s="1"/>
  <c r="H10" i="1"/>
  <c r="H9" i="1"/>
  <c r="H8" i="1"/>
  <c r="H7" i="1"/>
  <c r="A7" i="1" a="1"/>
  <c r="AA94" i="1" l="1"/>
  <c r="AB94" i="1" s="1"/>
  <c r="AE94" i="1" s="1"/>
  <c r="AG94" i="1" s="1"/>
  <c r="AA92" i="1"/>
  <c r="AB92" i="1" s="1"/>
  <c r="AE92" i="1" s="1"/>
  <c r="AG92" i="1" s="1"/>
  <c r="AA83" i="1"/>
  <c r="AB83" i="1" s="1"/>
  <c r="AE83" i="1" s="1"/>
  <c r="AG83" i="1" s="1"/>
  <c r="AA81" i="1"/>
  <c r="AB81" i="1" s="1"/>
  <c r="AE81" i="1" s="1"/>
  <c r="AG81" i="1" s="1"/>
  <c r="AA88" i="1"/>
  <c r="AB88" i="1" s="1"/>
  <c r="AE88" i="1" s="1"/>
  <c r="AG88" i="1" s="1"/>
  <c r="AA87" i="1"/>
  <c r="AB87" i="1" s="1"/>
  <c r="AE87" i="1" s="1"/>
  <c r="AG87" i="1" s="1"/>
  <c r="AA86" i="1"/>
  <c r="AB86" i="1" s="1"/>
  <c r="AE86" i="1" s="1"/>
  <c r="AG86" i="1" s="1"/>
  <c r="AA80" i="1"/>
  <c r="AB80" i="1" s="1"/>
  <c r="AE80" i="1" s="1"/>
  <c r="AG80" i="1" s="1"/>
  <c r="AA85" i="1"/>
  <c r="AB85" i="1" s="1"/>
  <c r="AE85" i="1" s="1"/>
  <c r="AG85" i="1" s="1"/>
  <c r="AA89" i="1"/>
  <c r="AB89" i="1" s="1"/>
  <c r="AE89" i="1" s="1"/>
  <c r="AG89" i="1" s="1"/>
  <c r="AA82" i="1"/>
  <c r="AB82" i="1" s="1"/>
  <c r="AE82" i="1" s="1"/>
  <c r="AG82" i="1" s="1"/>
  <c r="AA93" i="1"/>
  <c r="AB93" i="1" s="1"/>
  <c r="AE93" i="1" s="1"/>
  <c r="AG93" i="1" s="1"/>
  <c r="AA91" i="1"/>
  <c r="AB91" i="1" s="1"/>
  <c r="AE91" i="1" s="1"/>
  <c r="AG91" i="1" s="1"/>
  <c r="AA90" i="1"/>
  <c r="AB90" i="1" s="1"/>
  <c r="AE90" i="1" s="1"/>
  <c r="AG90" i="1" s="1"/>
  <c r="AA97" i="1"/>
  <c r="AA95" i="1"/>
  <c r="AB95" i="1" s="1"/>
  <c r="AE95" i="1" s="1"/>
  <c r="AG95" i="1" s="1"/>
  <c r="C24" i="6"/>
  <c r="C28" i="6"/>
  <c r="C27" i="6"/>
  <c r="C25" i="6"/>
  <c r="C26" i="6"/>
  <c r="C29" i="6"/>
  <c r="C21" i="6"/>
  <c r="C20" i="6"/>
  <c r="C19" i="6"/>
  <c r="C18" i="6"/>
  <c r="C17" i="6"/>
  <c r="C16" i="6"/>
  <c r="C15" i="6"/>
  <c r="C14" i="6"/>
  <c r="C13" i="6"/>
  <c r="C12" i="6"/>
  <c r="C11" i="6"/>
  <c r="C10" i="6"/>
  <c r="G116" i="5"/>
  <c r="H116" i="5"/>
  <c r="I116" i="5" s="1"/>
  <c r="J116" i="5" s="1"/>
  <c r="G115" i="5"/>
  <c r="H115" i="5" s="1"/>
  <c r="I115" i="5" s="1"/>
  <c r="J115" i="5" s="1"/>
  <c r="G114" i="5"/>
  <c r="H114" i="5"/>
  <c r="I114" i="5" s="1"/>
  <c r="J114" i="5" s="1"/>
  <c r="G113" i="5"/>
  <c r="H113" i="5" s="1"/>
  <c r="I113" i="5" s="1"/>
  <c r="J113" i="5" s="1"/>
  <c r="C112" i="5" a="1"/>
  <c r="A111" i="5" a="1"/>
  <c r="C111" i="5" a="1"/>
  <c r="G108" i="5"/>
  <c r="H108" i="5"/>
  <c r="I108" i="5" s="1"/>
  <c r="J108" i="5"/>
  <c r="G107" i="5"/>
  <c r="H107" i="5" s="1"/>
  <c r="I107" i="5" s="1"/>
  <c r="J107" i="5" s="1"/>
  <c r="G106" i="5"/>
  <c r="H106" i="5" s="1"/>
  <c r="I106" i="5" s="1"/>
  <c r="J106" i="5" s="1"/>
  <c r="G105" i="5"/>
  <c r="H105" i="5" s="1"/>
  <c r="I105" i="5" s="1"/>
  <c r="J105" i="5" s="1"/>
  <c r="G104" i="5"/>
  <c r="H104" i="5" s="1"/>
  <c r="I104" i="5" s="1"/>
  <c r="J104" i="5" s="1"/>
  <c r="G103" i="5"/>
  <c r="H103" i="5" s="1"/>
  <c r="I103" i="5" s="1"/>
  <c r="J103" i="5" s="1"/>
  <c r="G102" i="5"/>
  <c r="H102" i="5"/>
  <c r="I102" i="5" s="1"/>
  <c r="J102" i="5" s="1"/>
  <c r="G101" i="5"/>
  <c r="H101" i="5" s="1"/>
  <c r="I101" i="5" s="1"/>
  <c r="J101" i="5" s="1"/>
  <c r="G100" i="5"/>
  <c r="H100" i="5"/>
  <c r="I100" i="5" s="1"/>
  <c r="J100" i="5"/>
  <c r="G99" i="5"/>
  <c r="H99" i="5" s="1"/>
  <c r="I99" i="5" s="1"/>
  <c r="J99" i="5" s="1"/>
  <c r="G98" i="5"/>
  <c r="H98" i="5" s="1"/>
  <c r="I98" i="5" s="1"/>
  <c r="J98" i="5" s="1"/>
  <c r="G97" i="5"/>
  <c r="H97" i="5"/>
  <c r="I97" i="5" s="1"/>
  <c r="J97" i="5" s="1"/>
  <c r="G96" i="5"/>
  <c r="H96" i="5" s="1"/>
  <c r="I96" i="5" s="1"/>
  <c r="J96" i="5" s="1"/>
  <c r="G95" i="5"/>
  <c r="H95" i="5"/>
  <c r="I95" i="5" s="1"/>
  <c r="J95" i="5" s="1"/>
  <c r="G94" i="5"/>
  <c r="H94" i="5" s="1"/>
  <c r="I94" i="5" s="1"/>
  <c r="J94" i="5" s="1"/>
  <c r="G93" i="5"/>
  <c r="H93" i="5" s="1"/>
  <c r="I93" i="5" s="1"/>
  <c r="J93" i="5" s="1"/>
  <c r="G92" i="5"/>
  <c r="H92" i="5" s="1"/>
  <c r="I92" i="5" s="1"/>
  <c r="J92" i="5" s="1"/>
  <c r="G91" i="5"/>
  <c r="H91" i="5"/>
  <c r="I91" i="5" s="1"/>
  <c r="J91" i="5" s="1"/>
  <c r="G90" i="5"/>
  <c r="H90" i="5"/>
  <c r="I90" i="5" s="1"/>
  <c r="J90" i="5" s="1"/>
  <c r="G89" i="5"/>
  <c r="H89" i="5" s="1"/>
  <c r="I89" i="5" s="1"/>
  <c r="J89" i="5" s="1"/>
  <c r="G88" i="5"/>
  <c r="H88" i="5" s="1"/>
  <c r="I88" i="5" s="1"/>
  <c r="J88" i="5" s="1"/>
  <c r="G87" i="5"/>
  <c r="H87" i="5" s="1"/>
  <c r="I87" i="5" s="1"/>
  <c r="J87" i="5" s="1"/>
  <c r="G86" i="5"/>
  <c r="H86" i="5"/>
  <c r="I86" i="5" s="1"/>
  <c r="J86" i="5" s="1"/>
  <c r="G85" i="5"/>
  <c r="H85" i="5" s="1"/>
  <c r="I85" i="5" s="1"/>
  <c r="J85" i="5" s="1"/>
  <c r="G84" i="5"/>
  <c r="H84" i="5"/>
  <c r="I84" i="5" s="1"/>
  <c r="J84" i="5"/>
  <c r="G83" i="5"/>
  <c r="H83" i="5"/>
  <c r="I83" i="5" s="1"/>
  <c r="J83" i="5" s="1"/>
  <c r="G82" i="5"/>
  <c r="H82" i="5" s="1"/>
  <c r="I82" i="5" s="1"/>
  <c r="J82" i="5" s="1"/>
  <c r="G81" i="5"/>
  <c r="H81" i="5" s="1"/>
  <c r="I81" i="5" s="1"/>
  <c r="J81" i="5" s="1"/>
  <c r="G80" i="5"/>
  <c r="H80" i="5"/>
  <c r="I80" i="5" s="1"/>
  <c r="J80" i="5" s="1"/>
  <c r="B55" i="5"/>
  <c r="B54" i="5"/>
  <c r="B53" i="5"/>
  <c r="B51" i="5"/>
  <c r="B50" i="5"/>
  <c r="B49" i="5"/>
  <c r="B48" i="5"/>
  <c r="B47" i="5"/>
  <c r="B46" i="5"/>
  <c r="B45" i="5"/>
  <c r="B44" i="5"/>
  <c r="B52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61" i="5"/>
  <c r="B43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0" i="5"/>
  <c r="B59" i="5"/>
  <c r="B58" i="5"/>
  <c r="B57" i="5"/>
  <c r="B56" i="5"/>
  <c r="C9" i="5" a="1"/>
  <c r="K101" i="4"/>
  <c r="K7" i="4"/>
  <c r="N101" i="4"/>
  <c r="N7" i="4"/>
  <c r="AD105" i="1"/>
  <c r="AD106" i="1"/>
  <c r="Q99" i="1"/>
  <c r="P99" i="1"/>
  <c r="O99" i="1"/>
  <c r="N99" i="1"/>
  <c r="L99" i="1"/>
  <c r="S99" i="1"/>
  <c r="AL78" i="1"/>
  <c r="H99" i="1"/>
  <c r="AL77" i="1"/>
  <c r="AL22" i="1"/>
  <c r="AL19" i="1"/>
  <c r="AL10" i="1"/>
  <c r="AL9" i="1"/>
  <c r="AL8" i="1"/>
  <c r="AL7" i="1"/>
  <c r="B8" i="2" a="1"/>
  <c r="B8" i="4" a="1"/>
  <c r="B8" i="3" a="1"/>
  <c r="A76" i="1"/>
  <c r="A75" i="1"/>
  <c r="A74" i="1"/>
  <c r="A73" i="1"/>
  <c r="A71" i="1"/>
  <c r="A70" i="1"/>
  <c r="A69" i="1"/>
  <c r="A68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72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40" i="1"/>
  <c r="A41" i="1"/>
  <c r="A42" i="1"/>
  <c r="A79" i="1"/>
  <c r="A43" i="1"/>
  <c r="A44" i="1"/>
  <c r="A45" i="1"/>
  <c r="A46" i="1"/>
  <c r="A47" i="1"/>
  <c r="A48" i="1"/>
  <c r="A78" i="1"/>
  <c r="A7" i="1"/>
  <c r="A49" i="1"/>
  <c r="A50" i="1"/>
  <c r="A51" i="1"/>
  <c r="A52" i="1"/>
  <c r="A53" i="1"/>
  <c r="A39" i="1"/>
  <c r="A54" i="1"/>
  <c r="A55" i="1"/>
  <c r="A77" i="1"/>
  <c r="A56" i="1"/>
  <c r="A57" i="1"/>
  <c r="A58" i="1"/>
  <c r="A59" i="1"/>
  <c r="A60" i="1"/>
  <c r="A61" i="1"/>
  <c r="A62" i="1"/>
  <c r="A63" i="1"/>
  <c r="A64" i="1"/>
  <c r="A65" i="1"/>
  <c r="A66" i="1"/>
  <c r="A67" i="1"/>
  <c r="A23" i="1"/>
  <c r="AM97" i="1" l="1"/>
  <c r="AN97" i="1" s="1"/>
  <c r="AB97" i="1"/>
  <c r="AE97" i="1" s="1"/>
  <c r="D112" i="5"/>
  <c r="C112" i="5"/>
  <c r="A112" i="5"/>
  <c r="A111" i="5"/>
  <c r="D111" i="5"/>
  <c r="C111" i="5"/>
  <c r="C55" i="5" a="1"/>
  <c r="C54" i="5" a="1"/>
  <c r="C53" i="5" a="1"/>
  <c r="C51" i="5" a="1"/>
  <c r="C50" i="5" a="1"/>
  <c r="C49" i="5" a="1"/>
  <c r="C48" i="5" a="1"/>
  <c r="F48" i="5"/>
  <c r="C47" i="5" a="1"/>
  <c r="C46" i="5" a="1"/>
  <c r="C45" i="5" a="1"/>
  <c r="C44" i="5" a="1"/>
  <c r="C52" i="5" a="1"/>
  <c r="C42" i="5" a="1"/>
  <c r="C41" i="5" a="1"/>
  <c r="C40" i="5" a="1"/>
  <c r="C39" i="5" a="1"/>
  <c r="C38" i="5" a="1"/>
  <c r="C37" i="5" a="1"/>
  <c r="C36" i="5" a="1"/>
  <c r="C35" i="5" a="1"/>
  <c r="C34" i="5" a="1"/>
  <c r="C33" i="5" a="1"/>
  <c r="F33" i="5"/>
  <c r="C32" i="5" a="1"/>
  <c r="C31" i="5" a="1"/>
  <c r="C30" i="5" a="1"/>
  <c r="C29" i="5" a="1"/>
  <c r="C28" i="5" a="1"/>
  <c r="F28" i="5"/>
  <c r="C27" i="5" a="1"/>
  <c r="C26" i="5" a="1"/>
  <c r="C25" i="5" a="1"/>
  <c r="C24" i="5" a="1"/>
  <c r="C23" i="5" a="1"/>
  <c r="C22" i="5" a="1"/>
  <c r="C21" i="5" a="1"/>
  <c r="C20" i="5" a="1"/>
  <c r="C19" i="5" a="1"/>
  <c r="C18" i="5" a="1"/>
  <c r="C17" i="5" a="1"/>
  <c r="C16" i="5" a="1"/>
  <c r="F16" i="5"/>
  <c r="C15" i="5" a="1"/>
  <c r="C14" i="5" a="1"/>
  <c r="C13" i="5" a="1"/>
  <c r="C12" i="5" a="1"/>
  <c r="C11" i="5" a="1"/>
  <c r="C10" i="5" a="1"/>
  <c r="A9" i="5" a="1"/>
  <c r="C61" i="5" a="1"/>
  <c r="C43" i="5" a="1"/>
  <c r="C79" i="5" a="1"/>
  <c r="F79" i="5"/>
  <c r="C78" i="5" a="1"/>
  <c r="C77" i="5" a="1"/>
  <c r="C76" i="5" a="1"/>
  <c r="C75" i="5" a="1"/>
  <c r="C74" i="5" a="1"/>
  <c r="C73" i="5" a="1"/>
  <c r="C72" i="5" a="1"/>
  <c r="F72" i="5"/>
  <c r="C71" i="5" a="1"/>
  <c r="C70" i="5" a="1"/>
  <c r="C69" i="5" a="1"/>
  <c r="C68" i="5" a="1"/>
  <c r="C67" i="5" a="1"/>
  <c r="C66" i="5" a="1"/>
  <c r="C65" i="5" a="1"/>
  <c r="C64" i="5" a="1"/>
  <c r="C63" i="5" a="1"/>
  <c r="C62" i="5" a="1"/>
  <c r="C60" i="5" a="1"/>
  <c r="C59" i="5" a="1"/>
  <c r="C58" i="5" a="1"/>
  <c r="C57" i="5" a="1"/>
  <c r="C56" i="5" a="1"/>
  <c r="D9" i="5"/>
  <c r="C9" i="5"/>
  <c r="AL99" i="1"/>
  <c r="C8" i="2"/>
  <c r="D8" i="2"/>
  <c r="E8" i="2"/>
  <c r="F8" i="2"/>
  <c r="G8" i="2"/>
  <c r="H8" i="2"/>
  <c r="B9" i="2"/>
  <c r="C9" i="2"/>
  <c r="D9" i="2"/>
  <c r="E9" i="2"/>
  <c r="F9" i="2"/>
  <c r="G9" i="2"/>
  <c r="H9" i="2"/>
  <c r="I9" i="2" s="1"/>
  <c r="B10" i="2"/>
  <c r="C10" i="2"/>
  <c r="D10" i="2"/>
  <c r="E10" i="2"/>
  <c r="F10" i="2"/>
  <c r="G10" i="2"/>
  <c r="H10" i="2"/>
  <c r="I10" i="2" s="1"/>
  <c r="B11" i="2"/>
  <c r="C11" i="2"/>
  <c r="D11" i="2"/>
  <c r="E11" i="2"/>
  <c r="F11" i="2"/>
  <c r="G11" i="2"/>
  <c r="H11" i="2"/>
  <c r="I11" i="2" s="1"/>
  <c r="B12" i="2"/>
  <c r="C12" i="2"/>
  <c r="D12" i="2"/>
  <c r="E12" i="2"/>
  <c r="F12" i="2"/>
  <c r="G12" i="2"/>
  <c r="H12" i="2"/>
  <c r="I12" i="2" s="1"/>
  <c r="B13" i="2"/>
  <c r="C13" i="2"/>
  <c r="D13" i="2"/>
  <c r="E13" i="2"/>
  <c r="F13" i="2"/>
  <c r="G13" i="2"/>
  <c r="H13" i="2"/>
  <c r="I13" i="2" s="1"/>
  <c r="B14" i="2"/>
  <c r="C14" i="2"/>
  <c r="D14" i="2"/>
  <c r="E14" i="2"/>
  <c r="F14" i="2"/>
  <c r="G14" i="2"/>
  <c r="H14" i="2"/>
  <c r="I14" i="2" s="1"/>
  <c r="B15" i="2"/>
  <c r="C15" i="2"/>
  <c r="D15" i="2"/>
  <c r="E15" i="2"/>
  <c r="F15" i="2"/>
  <c r="G15" i="2"/>
  <c r="H15" i="2"/>
  <c r="I15" i="2" s="1"/>
  <c r="B16" i="2"/>
  <c r="C16" i="2"/>
  <c r="D16" i="2"/>
  <c r="E16" i="2"/>
  <c r="F16" i="2"/>
  <c r="G16" i="2"/>
  <c r="H16" i="2"/>
  <c r="I16" i="2" s="1"/>
  <c r="B17" i="2"/>
  <c r="C17" i="2"/>
  <c r="D17" i="2"/>
  <c r="E17" i="2"/>
  <c r="F17" i="2"/>
  <c r="G17" i="2"/>
  <c r="H17" i="2"/>
  <c r="I17" i="2" s="1"/>
  <c r="B18" i="2"/>
  <c r="C18" i="2"/>
  <c r="D18" i="2"/>
  <c r="E18" i="2"/>
  <c r="F18" i="2"/>
  <c r="G18" i="2"/>
  <c r="H18" i="2"/>
  <c r="I18" i="2" s="1"/>
  <c r="B19" i="2"/>
  <c r="C19" i="2"/>
  <c r="D19" i="2"/>
  <c r="E19" i="2"/>
  <c r="F19" i="2"/>
  <c r="G19" i="2"/>
  <c r="H19" i="2"/>
  <c r="I19" i="2" s="1"/>
  <c r="B20" i="2"/>
  <c r="C20" i="2"/>
  <c r="D20" i="2"/>
  <c r="E20" i="2"/>
  <c r="F20" i="2"/>
  <c r="G20" i="2"/>
  <c r="H20" i="2"/>
  <c r="I20" i="2" s="1"/>
  <c r="B21" i="2"/>
  <c r="C21" i="2"/>
  <c r="D21" i="2"/>
  <c r="E21" i="2"/>
  <c r="F21" i="2"/>
  <c r="G21" i="2"/>
  <c r="H21" i="2"/>
  <c r="I21" i="2" s="1"/>
  <c r="B22" i="2"/>
  <c r="C22" i="2"/>
  <c r="D22" i="2"/>
  <c r="E22" i="2"/>
  <c r="F22" i="2"/>
  <c r="G22" i="2"/>
  <c r="H22" i="2"/>
  <c r="I22" i="2" s="1"/>
  <c r="B23" i="2"/>
  <c r="C23" i="2"/>
  <c r="D23" i="2"/>
  <c r="E23" i="2"/>
  <c r="F23" i="2"/>
  <c r="G23" i="2"/>
  <c r="H23" i="2"/>
  <c r="I23" i="2" s="1"/>
  <c r="B24" i="2"/>
  <c r="C24" i="2"/>
  <c r="D24" i="2"/>
  <c r="E24" i="2"/>
  <c r="F24" i="2"/>
  <c r="G24" i="2"/>
  <c r="H24" i="2"/>
  <c r="I24" i="2" s="1"/>
  <c r="B25" i="2"/>
  <c r="C25" i="2"/>
  <c r="D25" i="2"/>
  <c r="E25" i="2"/>
  <c r="F25" i="2"/>
  <c r="G25" i="2"/>
  <c r="H25" i="2"/>
  <c r="I25" i="2" s="1"/>
  <c r="B26" i="2"/>
  <c r="C26" i="2"/>
  <c r="D26" i="2"/>
  <c r="E26" i="2"/>
  <c r="F26" i="2"/>
  <c r="G26" i="2"/>
  <c r="H26" i="2"/>
  <c r="I26" i="2" s="1"/>
  <c r="B27" i="2"/>
  <c r="C27" i="2"/>
  <c r="D27" i="2"/>
  <c r="E27" i="2"/>
  <c r="F27" i="2"/>
  <c r="G27" i="2"/>
  <c r="H27" i="2"/>
  <c r="I27" i="2" s="1"/>
  <c r="B28" i="2"/>
  <c r="C28" i="2"/>
  <c r="D28" i="2"/>
  <c r="E28" i="2"/>
  <c r="F28" i="2"/>
  <c r="G28" i="2"/>
  <c r="H28" i="2"/>
  <c r="I28" i="2" s="1"/>
  <c r="B29" i="2"/>
  <c r="C29" i="2"/>
  <c r="D29" i="2"/>
  <c r="E29" i="2"/>
  <c r="F29" i="2"/>
  <c r="G29" i="2"/>
  <c r="H29" i="2"/>
  <c r="I29" i="2" s="1"/>
  <c r="B30" i="2"/>
  <c r="C30" i="2"/>
  <c r="D30" i="2"/>
  <c r="E30" i="2"/>
  <c r="F30" i="2"/>
  <c r="G30" i="2"/>
  <c r="H30" i="2"/>
  <c r="I30" i="2" s="1"/>
  <c r="B31" i="2"/>
  <c r="C31" i="2"/>
  <c r="D31" i="2"/>
  <c r="E31" i="2"/>
  <c r="F31" i="2"/>
  <c r="G31" i="2"/>
  <c r="H31" i="2"/>
  <c r="I31" i="2" s="1"/>
  <c r="B32" i="2"/>
  <c r="C32" i="2"/>
  <c r="D32" i="2"/>
  <c r="E32" i="2"/>
  <c r="F32" i="2"/>
  <c r="G32" i="2"/>
  <c r="H32" i="2"/>
  <c r="I32" i="2" s="1"/>
  <c r="B33" i="2"/>
  <c r="C33" i="2"/>
  <c r="D33" i="2"/>
  <c r="E33" i="2"/>
  <c r="F33" i="2"/>
  <c r="G33" i="2"/>
  <c r="H33" i="2"/>
  <c r="I33" i="2" s="1"/>
  <c r="B34" i="2"/>
  <c r="C34" i="2"/>
  <c r="D34" i="2"/>
  <c r="E34" i="2"/>
  <c r="F34" i="2"/>
  <c r="G34" i="2"/>
  <c r="H34" i="2"/>
  <c r="I34" i="2" s="1"/>
  <c r="B35" i="2"/>
  <c r="C35" i="2"/>
  <c r="D35" i="2"/>
  <c r="E35" i="2"/>
  <c r="F35" i="2"/>
  <c r="G35" i="2"/>
  <c r="H35" i="2"/>
  <c r="I35" i="2" s="1"/>
  <c r="B36" i="2"/>
  <c r="C36" i="2"/>
  <c r="D36" i="2"/>
  <c r="E36" i="2"/>
  <c r="F36" i="2"/>
  <c r="G36" i="2"/>
  <c r="H36" i="2"/>
  <c r="I36" i="2" s="1"/>
  <c r="B37" i="2"/>
  <c r="C37" i="2"/>
  <c r="D37" i="2"/>
  <c r="E37" i="2"/>
  <c r="F37" i="2"/>
  <c r="G37" i="2"/>
  <c r="H37" i="2"/>
  <c r="I37" i="2" s="1"/>
  <c r="B38" i="2"/>
  <c r="C38" i="2"/>
  <c r="D38" i="2"/>
  <c r="E38" i="2"/>
  <c r="F38" i="2"/>
  <c r="G38" i="2"/>
  <c r="H38" i="2"/>
  <c r="I38" i="2" s="1"/>
  <c r="B39" i="2"/>
  <c r="C39" i="2"/>
  <c r="D39" i="2"/>
  <c r="E39" i="2"/>
  <c r="F39" i="2"/>
  <c r="G39" i="2"/>
  <c r="H39" i="2"/>
  <c r="I39" i="2" s="1"/>
  <c r="B40" i="2"/>
  <c r="C40" i="2"/>
  <c r="D40" i="2"/>
  <c r="E40" i="2"/>
  <c r="F40" i="2"/>
  <c r="G40" i="2"/>
  <c r="H40" i="2"/>
  <c r="I40" i="2" s="1"/>
  <c r="B41" i="2"/>
  <c r="C41" i="2"/>
  <c r="D41" i="2"/>
  <c r="E41" i="2"/>
  <c r="F41" i="2"/>
  <c r="G41" i="2"/>
  <c r="H41" i="2"/>
  <c r="I41" i="2" s="1"/>
  <c r="B42" i="2"/>
  <c r="C42" i="2"/>
  <c r="D42" i="2"/>
  <c r="E42" i="2"/>
  <c r="F42" i="2"/>
  <c r="G42" i="2"/>
  <c r="H42" i="2"/>
  <c r="I42" i="2" s="1"/>
  <c r="B43" i="2"/>
  <c r="C43" i="2"/>
  <c r="D43" i="2"/>
  <c r="E43" i="2"/>
  <c r="F43" i="2"/>
  <c r="G43" i="2"/>
  <c r="H43" i="2"/>
  <c r="I43" i="2" s="1"/>
  <c r="B44" i="2"/>
  <c r="C44" i="2"/>
  <c r="D44" i="2"/>
  <c r="E44" i="2"/>
  <c r="F44" i="2"/>
  <c r="G44" i="2"/>
  <c r="H44" i="2"/>
  <c r="I44" i="2" s="1"/>
  <c r="B45" i="2"/>
  <c r="C45" i="2"/>
  <c r="D45" i="2"/>
  <c r="E45" i="2"/>
  <c r="F45" i="2"/>
  <c r="G45" i="2"/>
  <c r="H45" i="2"/>
  <c r="I45" i="2" s="1"/>
  <c r="B46" i="2"/>
  <c r="C46" i="2"/>
  <c r="D46" i="2"/>
  <c r="E46" i="2"/>
  <c r="F46" i="2"/>
  <c r="G46" i="2"/>
  <c r="H46" i="2"/>
  <c r="I46" i="2" s="1"/>
  <c r="B47" i="2"/>
  <c r="C47" i="2"/>
  <c r="D47" i="2"/>
  <c r="E47" i="2"/>
  <c r="F47" i="2"/>
  <c r="G47" i="2"/>
  <c r="H47" i="2"/>
  <c r="I47" i="2" s="1"/>
  <c r="B48" i="2"/>
  <c r="C48" i="2"/>
  <c r="D48" i="2"/>
  <c r="E48" i="2"/>
  <c r="F48" i="2"/>
  <c r="G48" i="2"/>
  <c r="H48" i="2"/>
  <c r="I48" i="2" s="1"/>
  <c r="B49" i="2"/>
  <c r="C49" i="2"/>
  <c r="D49" i="2"/>
  <c r="E49" i="2"/>
  <c r="F49" i="2"/>
  <c r="G49" i="2"/>
  <c r="H49" i="2"/>
  <c r="I49" i="2" s="1"/>
  <c r="B50" i="2"/>
  <c r="C50" i="2"/>
  <c r="D50" i="2"/>
  <c r="E50" i="2"/>
  <c r="F50" i="2"/>
  <c r="G50" i="2"/>
  <c r="H50" i="2"/>
  <c r="I50" i="2" s="1"/>
  <c r="B51" i="2"/>
  <c r="C51" i="2"/>
  <c r="D51" i="2"/>
  <c r="E51" i="2"/>
  <c r="F51" i="2"/>
  <c r="G51" i="2"/>
  <c r="H51" i="2"/>
  <c r="I51" i="2" s="1"/>
  <c r="B52" i="2"/>
  <c r="C52" i="2"/>
  <c r="D52" i="2"/>
  <c r="E52" i="2"/>
  <c r="F52" i="2"/>
  <c r="G52" i="2"/>
  <c r="H52" i="2"/>
  <c r="I52" i="2" s="1"/>
  <c r="B53" i="2"/>
  <c r="C53" i="2"/>
  <c r="D53" i="2"/>
  <c r="E53" i="2"/>
  <c r="F53" i="2"/>
  <c r="G53" i="2"/>
  <c r="H53" i="2"/>
  <c r="I53" i="2" s="1"/>
  <c r="B54" i="2"/>
  <c r="C54" i="2"/>
  <c r="D54" i="2"/>
  <c r="E54" i="2"/>
  <c r="F54" i="2"/>
  <c r="G54" i="2"/>
  <c r="H54" i="2"/>
  <c r="I54" i="2" s="1"/>
  <c r="B55" i="2"/>
  <c r="C55" i="2"/>
  <c r="D55" i="2"/>
  <c r="E55" i="2"/>
  <c r="F55" i="2"/>
  <c r="G55" i="2"/>
  <c r="H55" i="2"/>
  <c r="I55" i="2" s="1"/>
  <c r="B56" i="2"/>
  <c r="C56" i="2"/>
  <c r="D56" i="2"/>
  <c r="E56" i="2"/>
  <c r="F56" i="2"/>
  <c r="G56" i="2"/>
  <c r="H56" i="2"/>
  <c r="I56" i="2" s="1"/>
  <c r="B57" i="2"/>
  <c r="C57" i="2"/>
  <c r="D57" i="2"/>
  <c r="E57" i="2"/>
  <c r="F57" i="2"/>
  <c r="G57" i="2"/>
  <c r="H57" i="2"/>
  <c r="I57" i="2" s="1"/>
  <c r="B58" i="2"/>
  <c r="C58" i="2"/>
  <c r="D58" i="2"/>
  <c r="E58" i="2"/>
  <c r="F58" i="2"/>
  <c r="G58" i="2"/>
  <c r="H58" i="2"/>
  <c r="I58" i="2" s="1"/>
  <c r="B59" i="2"/>
  <c r="C59" i="2"/>
  <c r="D59" i="2"/>
  <c r="E59" i="2"/>
  <c r="F59" i="2"/>
  <c r="G59" i="2"/>
  <c r="H59" i="2"/>
  <c r="I59" i="2" s="1"/>
  <c r="B60" i="2"/>
  <c r="C60" i="2"/>
  <c r="D60" i="2"/>
  <c r="E60" i="2"/>
  <c r="F60" i="2"/>
  <c r="G60" i="2"/>
  <c r="H60" i="2"/>
  <c r="I60" i="2" s="1"/>
  <c r="B61" i="2"/>
  <c r="C61" i="2"/>
  <c r="D61" i="2"/>
  <c r="E61" i="2"/>
  <c r="F61" i="2"/>
  <c r="G61" i="2"/>
  <c r="H61" i="2"/>
  <c r="I61" i="2" s="1"/>
  <c r="B62" i="2"/>
  <c r="C62" i="2"/>
  <c r="D62" i="2"/>
  <c r="E62" i="2"/>
  <c r="F62" i="2"/>
  <c r="G62" i="2"/>
  <c r="H62" i="2"/>
  <c r="I62" i="2" s="1"/>
  <c r="B63" i="2"/>
  <c r="C63" i="2"/>
  <c r="D63" i="2"/>
  <c r="E63" i="2"/>
  <c r="F63" i="2"/>
  <c r="G63" i="2"/>
  <c r="H63" i="2"/>
  <c r="I63" i="2" s="1"/>
  <c r="B64" i="2"/>
  <c r="C64" i="2"/>
  <c r="D64" i="2"/>
  <c r="E64" i="2"/>
  <c r="F64" i="2"/>
  <c r="G64" i="2"/>
  <c r="H64" i="2"/>
  <c r="I64" i="2" s="1"/>
  <c r="B65" i="2"/>
  <c r="C65" i="2"/>
  <c r="D65" i="2"/>
  <c r="E65" i="2"/>
  <c r="F65" i="2"/>
  <c r="G65" i="2"/>
  <c r="H65" i="2"/>
  <c r="I65" i="2" s="1"/>
  <c r="B66" i="2"/>
  <c r="C66" i="2"/>
  <c r="D66" i="2"/>
  <c r="E66" i="2"/>
  <c r="F66" i="2"/>
  <c r="G66" i="2"/>
  <c r="H66" i="2"/>
  <c r="I66" i="2" s="1"/>
  <c r="B67" i="2"/>
  <c r="C67" i="2"/>
  <c r="D67" i="2"/>
  <c r="G67" i="2"/>
  <c r="H67" i="2"/>
  <c r="I67" i="2" s="1"/>
  <c r="C68" i="2"/>
  <c r="D68" i="2"/>
  <c r="G68" i="2"/>
  <c r="H68" i="2"/>
  <c r="I68" i="2" s="1"/>
  <c r="D69" i="2"/>
  <c r="C70" i="2"/>
  <c r="C71" i="2"/>
  <c r="F71" i="2"/>
  <c r="G71" i="2"/>
  <c r="B72" i="2"/>
  <c r="C72" i="2"/>
  <c r="E72" i="2"/>
  <c r="G72" i="2"/>
  <c r="B73" i="2"/>
  <c r="C73" i="2"/>
  <c r="E73" i="2"/>
  <c r="G73" i="2"/>
  <c r="C74" i="2"/>
  <c r="E74" i="2"/>
  <c r="E75" i="2"/>
  <c r="G75" i="2"/>
  <c r="H75" i="2"/>
  <c r="I75" i="2" s="1"/>
  <c r="E76" i="2"/>
  <c r="C77" i="2"/>
  <c r="D77" i="2"/>
  <c r="F77" i="2"/>
  <c r="G77" i="2"/>
  <c r="B79" i="2"/>
  <c r="H79" i="2"/>
  <c r="G80" i="2"/>
  <c r="E67" i="2"/>
  <c r="F67" i="2"/>
  <c r="B68" i="2"/>
  <c r="E68" i="2"/>
  <c r="F68" i="2"/>
  <c r="B69" i="2"/>
  <c r="C69" i="2"/>
  <c r="E69" i="2"/>
  <c r="F69" i="2"/>
  <c r="G69" i="2"/>
  <c r="H69" i="2"/>
  <c r="I69" i="2" s="1"/>
  <c r="B70" i="2"/>
  <c r="D70" i="2"/>
  <c r="E70" i="2"/>
  <c r="F70" i="2"/>
  <c r="G70" i="2"/>
  <c r="H70" i="2"/>
  <c r="I70" i="2" s="1"/>
  <c r="B71" i="2"/>
  <c r="D71" i="2"/>
  <c r="E71" i="2"/>
  <c r="H71" i="2"/>
  <c r="I71" i="2" s="1"/>
  <c r="D72" i="2"/>
  <c r="F72" i="2"/>
  <c r="H72" i="2"/>
  <c r="I72" i="2" s="1"/>
  <c r="D73" i="2"/>
  <c r="F73" i="2"/>
  <c r="H73" i="2"/>
  <c r="I73" i="2" s="1"/>
  <c r="B74" i="2"/>
  <c r="D74" i="2"/>
  <c r="F74" i="2"/>
  <c r="G74" i="2"/>
  <c r="H74" i="2"/>
  <c r="I74" i="2" s="1"/>
  <c r="B75" i="2"/>
  <c r="C75" i="2"/>
  <c r="D75" i="2"/>
  <c r="F76" i="2"/>
  <c r="B77" i="2"/>
  <c r="E77" i="2"/>
  <c r="H77" i="2"/>
  <c r="I77" i="2" s="1"/>
  <c r="D78" i="2"/>
  <c r="E78" i="2"/>
  <c r="C79" i="2"/>
  <c r="D79" i="2"/>
  <c r="E79" i="2"/>
  <c r="G79" i="2"/>
  <c r="C80" i="2"/>
  <c r="D80" i="2"/>
  <c r="E80" i="2"/>
  <c r="H80" i="2"/>
  <c r="I80" i="2" s="1"/>
  <c r="F75" i="2"/>
  <c r="B76" i="2"/>
  <c r="C76" i="2"/>
  <c r="D76" i="2"/>
  <c r="G76" i="2"/>
  <c r="H76" i="2"/>
  <c r="I76" i="2" s="1"/>
  <c r="B78" i="2"/>
  <c r="C78" i="2"/>
  <c r="F78" i="2"/>
  <c r="G78" i="2"/>
  <c r="H78" i="2"/>
  <c r="I78" i="2" s="1"/>
  <c r="F79" i="2"/>
  <c r="B80" i="2"/>
  <c r="F80" i="2"/>
  <c r="B8" i="2"/>
  <c r="C8" i="4"/>
  <c r="D8" i="4"/>
  <c r="E8" i="4"/>
  <c r="F8" i="4"/>
  <c r="G8" i="4"/>
  <c r="H8" i="4"/>
  <c r="B9" i="4"/>
  <c r="C9" i="4"/>
  <c r="D9" i="4"/>
  <c r="E9" i="4"/>
  <c r="F9" i="4"/>
  <c r="G9" i="4"/>
  <c r="H9" i="4"/>
  <c r="B10" i="4"/>
  <c r="C10" i="4"/>
  <c r="B8" i="4"/>
  <c r="D10" i="4"/>
  <c r="E10" i="4"/>
  <c r="F10" i="4"/>
  <c r="G10" i="4"/>
  <c r="H10" i="4"/>
  <c r="B11" i="4"/>
  <c r="C11" i="4"/>
  <c r="D11" i="4"/>
  <c r="E11" i="4"/>
  <c r="F11" i="4"/>
  <c r="G11" i="4"/>
  <c r="H11" i="4"/>
  <c r="B12" i="4"/>
  <c r="C12" i="4"/>
  <c r="D12" i="4"/>
  <c r="E12" i="4"/>
  <c r="F12" i="4"/>
  <c r="G12" i="4"/>
  <c r="H12" i="4"/>
  <c r="B13" i="4"/>
  <c r="C13" i="4"/>
  <c r="D13" i="4"/>
  <c r="E13" i="4"/>
  <c r="F13" i="4"/>
  <c r="G13" i="4"/>
  <c r="H13" i="4"/>
  <c r="B14" i="4"/>
  <c r="C14" i="4"/>
  <c r="D14" i="4"/>
  <c r="E14" i="4"/>
  <c r="F14" i="4"/>
  <c r="G14" i="4"/>
  <c r="H14" i="4"/>
  <c r="B15" i="4"/>
  <c r="C15" i="4"/>
  <c r="D15" i="4"/>
  <c r="E15" i="4"/>
  <c r="F15" i="4"/>
  <c r="G15" i="4"/>
  <c r="H15" i="4"/>
  <c r="B16" i="4"/>
  <c r="C16" i="4"/>
  <c r="D16" i="4"/>
  <c r="E16" i="4"/>
  <c r="F16" i="4"/>
  <c r="G16" i="4"/>
  <c r="H16" i="4"/>
  <c r="B17" i="4"/>
  <c r="C17" i="4"/>
  <c r="D17" i="4"/>
  <c r="E17" i="4"/>
  <c r="F17" i="4"/>
  <c r="G17" i="4"/>
  <c r="H17" i="4"/>
  <c r="B18" i="4"/>
  <c r="C18" i="4"/>
  <c r="D18" i="4"/>
  <c r="E18" i="4"/>
  <c r="F18" i="4"/>
  <c r="G18" i="4"/>
  <c r="H18" i="4"/>
  <c r="B19" i="4"/>
  <c r="C19" i="4"/>
  <c r="D19" i="4"/>
  <c r="E19" i="4"/>
  <c r="F19" i="4"/>
  <c r="G19" i="4"/>
  <c r="H19" i="4"/>
  <c r="B20" i="4"/>
  <c r="C20" i="4"/>
  <c r="D20" i="4"/>
  <c r="E20" i="4"/>
  <c r="F20" i="4"/>
  <c r="G20" i="4"/>
  <c r="H20" i="4"/>
  <c r="B21" i="4"/>
  <c r="C21" i="4"/>
  <c r="D21" i="4"/>
  <c r="E21" i="4"/>
  <c r="F21" i="4"/>
  <c r="G21" i="4"/>
  <c r="H21" i="4"/>
  <c r="B22" i="4"/>
  <c r="C22" i="4"/>
  <c r="D22" i="4"/>
  <c r="E22" i="4"/>
  <c r="F22" i="4"/>
  <c r="G22" i="4"/>
  <c r="H22" i="4"/>
  <c r="B23" i="4"/>
  <c r="C23" i="4"/>
  <c r="D23" i="4"/>
  <c r="E23" i="4"/>
  <c r="F23" i="4"/>
  <c r="G23" i="4"/>
  <c r="H23" i="4"/>
  <c r="B24" i="4"/>
  <c r="C24" i="4"/>
  <c r="D24" i="4"/>
  <c r="E24" i="4"/>
  <c r="F24" i="4"/>
  <c r="G24" i="4"/>
  <c r="H24" i="4"/>
  <c r="B25" i="4"/>
  <c r="C25" i="4"/>
  <c r="D25" i="4"/>
  <c r="E25" i="4"/>
  <c r="F25" i="4"/>
  <c r="G25" i="4"/>
  <c r="H25" i="4"/>
  <c r="B26" i="4"/>
  <c r="C26" i="4"/>
  <c r="D26" i="4"/>
  <c r="E26" i="4"/>
  <c r="F26" i="4"/>
  <c r="G26" i="4"/>
  <c r="H26" i="4"/>
  <c r="B27" i="4"/>
  <c r="C27" i="4"/>
  <c r="D27" i="4"/>
  <c r="E27" i="4"/>
  <c r="F27" i="4"/>
  <c r="G27" i="4"/>
  <c r="H27" i="4"/>
  <c r="B28" i="4"/>
  <c r="C28" i="4"/>
  <c r="D28" i="4"/>
  <c r="E28" i="4"/>
  <c r="F28" i="4"/>
  <c r="G28" i="4"/>
  <c r="H28" i="4"/>
  <c r="B29" i="4"/>
  <c r="C29" i="4"/>
  <c r="D29" i="4"/>
  <c r="E29" i="4"/>
  <c r="F29" i="4"/>
  <c r="G29" i="4"/>
  <c r="H29" i="4"/>
  <c r="B30" i="4"/>
  <c r="C30" i="4"/>
  <c r="D30" i="4"/>
  <c r="E30" i="4"/>
  <c r="F30" i="4"/>
  <c r="G30" i="4"/>
  <c r="H30" i="4"/>
  <c r="B31" i="4"/>
  <c r="C31" i="4"/>
  <c r="D31" i="4"/>
  <c r="E31" i="4"/>
  <c r="F31" i="4"/>
  <c r="G31" i="4"/>
  <c r="H31" i="4"/>
  <c r="B32" i="4"/>
  <c r="C32" i="4"/>
  <c r="D32" i="4"/>
  <c r="E32" i="4"/>
  <c r="F32" i="4"/>
  <c r="G32" i="4"/>
  <c r="H32" i="4"/>
  <c r="B33" i="4"/>
  <c r="C33" i="4"/>
  <c r="D33" i="4"/>
  <c r="E33" i="4"/>
  <c r="F33" i="4"/>
  <c r="G33" i="4"/>
  <c r="H33" i="4"/>
  <c r="B34" i="4"/>
  <c r="C34" i="4"/>
  <c r="D34" i="4"/>
  <c r="E34" i="4"/>
  <c r="F34" i="4"/>
  <c r="G34" i="4"/>
  <c r="H34" i="4"/>
  <c r="B35" i="4"/>
  <c r="C35" i="4"/>
  <c r="D35" i="4"/>
  <c r="E35" i="4"/>
  <c r="F35" i="4"/>
  <c r="G35" i="4"/>
  <c r="H35" i="4"/>
  <c r="B36" i="4"/>
  <c r="C36" i="4"/>
  <c r="D36" i="4"/>
  <c r="E36" i="4"/>
  <c r="F36" i="4"/>
  <c r="G36" i="4"/>
  <c r="H36" i="4"/>
  <c r="B37" i="4"/>
  <c r="C37" i="4"/>
  <c r="D37" i="4"/>
  <c r="E37" i="4"/>
  <c r="F37" i="4"/>
  <c r="G37" i="4"/>
  <c r="H37" i="4"/>
  <c r="B38" i="4"/>
  <c r="C38" i="4"/>
  <c r="D38" i="4"/>
  <c r="E38" i="4"/>
  <c r="F38" i="4"/>
  <c r="G38" i="4"/>
  <c r="H38" i="4"/>
  <c r="B39" i="4"/>
  <c r="C39" i="4"/>
  <c r="D39" i="4"/>
  <c r="E39" i="4"/>
  <c r="F39" i="4"/>
  <c r="G39" i="4"/>
  <c r="H39" i="4"/>
  <c r="B40" i="4"/>
  <c r="C40" i="4"/>
  <c r="D40" i="4"/>
  <c r="E40" i="4"/>
  <c r="F40" i="4"/>
  <c r="G40" i="4"/>
  <c r="H40" i="4"/>
  <c r="B41" i="4"/>
  <c r="C41" i="4"/>
  <c r="D41" i="4"/>
  <c r="E41" i="4"/>
  <c r="F41" i="4"/>
  <c r="G41" i="4"/>
  <c r="H41" i="4"/>
  <c r="B42" i="4"/>
  <c r="C42" i="4"/>
  <c r="D42" i="4"/>
  <c r="E42" i="4"/>
  <c r="F42" i="4"/>
  <c r="G42" i="4"/>
  <c r="H42" i="4"/>
  <c r="B43" i="4"/>
  <c r="C43" i="4"/>
  <c r="D43" i="4"/>
  <c r="E43" i="4"/>
  <c r="F43" i="4"/>
  <c r="G43" i="4"/>
  <c r="H43" i="4"/>
  <c r="B44" i="4"/>
  <c r="C44" i="4"/>
  <c r="D44" i="4"/>
  <c r="E44" i="4"/>
  <c r="F44" i="4"/>
  <c r="G44" i="4"/>
  <c r="H44" i="4"/>
  <c r="B45" i="4"/>
  <c r="C45" i="4"/>
  <c r="D45" i="4"/>
  <c r="E45" i="4"/>
  <c r="F45" i="4"/>
  <c r="G45" i="4"/>
  <c r="H45" i="4"/>
  <c r="B46" i="4"/>
  <c r="C46" i="4"/>
  <c r="D46" i="4"/>
  <c r="E46" i="4"/>
  <c r="F46" i="4"/>
  <c r="G46" i="4"/>
  <c r="H46" i="4"/>
  <c r="B47" i="4"/>
  <c r="C47" i="4"/>
  <c r="D47" i="4"/>
  <c r="E47" i="4"/>
  <c r="F47" i="4"/>
  <c r="G47" i="4"/>
  <c r="H47" i="4"/>
  <c r="B48" i="4"/>
  <c r="C48" i="4"/>
  <c r="D48" i="4"/>
  <c r="E48" i="4"/>
  <c r="F48" i="4"/>
  <c r="G48" i="4"/>
  <c r="H48" i="4"/>
  <c r="B49" i="4"/>
  <c r="C49" i="4"/>
  <c r="D49" i="4"/>
  <c r="E49" i="4"/>
  <c r="F49" i="4"/>
  <c r="G49" i="4"/>
  <c r="H49" i="4"/>
  <c r="B50" i="4"/>
  <c r="C50" i="4"/>
  <c r="D50" i="4"/>
  <c r="E50" i="4"/>
  <c r="F50" i="4"/>
  <c r="G50" i="4"/>
  <c r="H50" i="4"/>
  <c r="B51" i="4"/>
  <c r="C51" i="4"/>
  <c r="D51" i="4"/>
  <c r="E51" i="4"/>
  <c r="F51" i="4"/>
  <c r="G51" i="4"/>
  <c r="H51" i="4"/>
  <c r="B52" i="4"/>
  <c r="C52" i="4"/>
  <c r="D52" i="4"/>
  <c r="E52" i="4"/>
  <c r="F52" i="4"/>
  <c r="G52" i="4"/>
  <c r="H52" i="4"/>
  <c r="B53" i="4"/>
  <c r="C53" i="4"/>
  <c r="D53" i="4"/>
  <c r="E53" i="4"/>
  <c r="F53" i="4"/>
  <c r="G53" i="4"/>
  <c r="H53" i="4"/>
  <c r="B54" i="4"/>
  <c r="C54" i="4"/>
  <c r="D54" i="4"/>
  <c r="E54" i="4"/>
  <c r="F54" i="4"/>
  <c r="G54" i="4"/>
  <c r="H54" i="4"/>
  <c r="B55" i="4"/>
  <c r="C55" i="4"/>
  <c r="D55" i="4"/>
  <c r="E55" i="4"/>
  <c r="F55" i="4"/>
  <c r="G55" i="4"/>
  <c r="H55" i="4"/>
  <c r="B56" i="4"/>
  <c r="C56" i="4"/>
  <c r="D56" i="4"/>
  <c r="E56" i="4"/>
  <c r="F56" i="4"/>
  <c r="G56" i="4"/>
  <c r="H56" i="4"/>
  <c r="B57" i="4"/>
  <c r="C57" i="4"/>
  <c r="D57" i="4"/>
  <c r="E57" i="4"/>
  <c r="F57" i="4"/>
  <c r="G57" i="4"/>
  <c r="H57" i="4"/>
  <c r="B58" i="4"/>
  <c r="C58" i="4"/>
  <c r="D58" i="4"/>
  <c r="E58" i="4"/>
  <c r="F58" i="4"/>
  <c r="G58" i="4"/>
  <c r="H58" i="4"/>
  <c r="B59" i="4"/>
  <c r="C59" i="4"/>
  <c r="D59" i="4"/>
  <c r="E59" i="4"/>
  <c r="F59" i="4"/>
  <c r="G59" i="4"/>
  <c r="H59" i="4"/>
  <c r="B60" i="4"/>
  <c r="C60" i="4"/>
  <c r="D60" i="4"/>
  <c r="E60" i="4"/>
  <c r="F60" i="4"/>
  <c r="G60" i="4"/>
  <c r="H60" i="4"/>
  <c r="B61" i="4"/>
  <c r="C61" i="4"/>
  <c r="D61" i="4"/>
  <c r="E61" i="4"/>
  <c r="F61" i="4"/>
  <c r="G61" i="4"/>
  <c r="H61" i="4"/>
  <c r="B62" i="4"/>
  <c r="C62" i="4"/>
  <c r="D62" i="4"/>
  <c r="E62" i="4"/>
  <c r="F62" i="4"/>
  <c r="G62" i="4"/>
  <c r="H62" i="4"/>
  <c r="B63" i="4"/>
  <c r="C63" i="4"/>
  <c r="D63" i="4"/>
  <c r="E63" i="4"/>
  <c r="F63" i="4"/>
  <c r="G63" i="4"/>
  <c r="H63" i="4"/>
  <c r="B64" i="4"/>
  <c r="C64" i="4"/>
  <c r="D64" i="4"/>
  <c r="E64" i="4"/>
  <c r="F64" i="4"/>
  <c r="G64" i="4"/>
  <c r="H64" i="4"/>
  <c r="B65" i="4"/>
  <c r="C65" i="4"/>
  <c r="D65" i="4"/>
  <c r="E65" i="4"/>
  <c r="F65" i="4"/>
  <c r="G65" i="4"/>
  <c r="H65" i="4"/>
  <c r="B66" i="4"/>
  <c r="C66" i="4"/>
  <c r="D66" i="4"/>
  <c r="E66" i="4"/>
  <c r="F66" i="4"/>
  <c r="G66" i="4"/>
  <c r="H66" i="4"/>
  <c r="B67" i="4"/>
  <c r="C67" i="4"/>
  <c r="D67" i="4"/>
  <c r="E67" i="4"/>
  <c r="F67" i="4"/>
  <c r="G67" i="4"/>
  <c r="H67" i="4"/>
  <c r="B68" i="4"/>
  <c r="C68" i="4"/>
  <c r="D68" i="4"/>
  <c r="E68" i="4"/>
  <c r="F68" i="4"/>
  <c r="G68" i="4"/>
  <c r="H68" i="4"/>
  <c r="B69" i="4"/>
  <c r="C69" i="4"/>
  <c r="D69" i="4"/>
  <c r="E69" i="4"/>
  <c r="F69" i="4"/>
  <c r="G69" i="4"/>
  <c r="H69" i="4"/>
  <c r="B70" i="4"/>
  <c r="C70" i="4"/>
  <c r="D70" i="4"/>
  <c r="E70" i="4"/>
  <c r="F70" i="4"/>
  <c r="G70" i="4"/>
  <c r="H70" i="4"/>
  <c r="B71" i="4"/>
  <c r="C71" i="4"/>
  <c r="D71" i="4"/>
  <c r="E71" i="4"/>
  <c r="F71" i="4"/>
  <c r="G71" i="4"/>
  <c r="H71" i="4"/>
  <c r="B72" i="4"/>
  <c r="C72" i="4"/>
  <c r="D72" i="4"/>
  <c r="E72" i="4"/>
  <c r="F72" i="4"/>
  <c r="G72" i="4"/>
  <c r="H72" i="4"/>
  <c r="B73" i="4"/>
  <c r="C73" i="4"/>
  <c r="D73" i="4"/>
  <c r="E73" i="4"/>
  <c r="F73" i="4"/>
  <c r="G73" i="4"/>
  <c r="H73" i="4"/>
  <c r="B74" i="4"/>
  <c r="C74" i="4"/>
  <c r="D74" i="4"/>
  <c r="E74" i="4"/>
  <c r="F74" i="4"/>
  <c r="G74" i="4"/>
  <c r="H74" i="4"/>
  <c r="B75" i="4"/>
  <c r="C75" i="4"/>
  <c r="D75" i="4"/>
  <c r="E75" i="4"/>
  <c r="F75" i="4"/>
  <c r="G75" i="4"/>
  <c r="H75" i="4"/>
  <c r="B76" i="4"/>
  <c r="C76" i="4"/>
  <c r="D76" i="4"/>
  <c r="E76" i="4"/>
  <c r="F76" i="4"/>
  <c r="G76" i="4"/>
  <c r="H76" i="4"/>
  <c r="B77" i="4"/>
  <c r="C77" i="4"/>
  <c r="D77" i="4"/>
  <c r="E77" i="4"/>
  <c r="F77" i="4"/>
  <c r="G77" i="4"/>
  <c r="H77" i="4"/>
  <c r="B78" i="4"/>
  <c r="C78" i="4"/>
  <c r="D78" i="4"/>
  <c r="E78" i="4"/>
  <c r="F78" i="4"/>
  <c r="G78" i="4"/>
  <c r="H78" i="4"/>
  <c r="B79" i="4"/>
  <c r="C79" i="4"/>
  <c r="D79" i="4"/>
  <c r="E79" i="4"/>
  <c r="F79" i="4"/>
  <c r="G79" i="4"/>
  <c r="H79" i="4"/>
  <c r="B80" i="4"/>
  <c r="C80" i="4"/>
  <c r="D80" i="4"/>
  <c r="E80" i="4"/>
  <c r="F80" i="4"/>
  <c r="G80" i="4"/>
  <c r="H80" i="4"/>
  <c r="C8" i="3"/>
  <c r="D8" i="3"/>
  <c r="E8" i="3"/>
  <c r="F8" i="3"/>
  <c r="G8" i="3"/>
  <c r="H8" i="3"/>
  <c r="I8" i="3" s="1"/>
  <c r="B9" i="3"/>
  <c r="C9" i="3"/>
  <c r="D9" i="3"/>
  <c r="E9" i="3"/>
  <c r="F9" i="3"/>
  <c r="G9" i="3"/>
  <c r="H9" i="3"/>
  <c r="I9" i="3" s="1"/>
  <c r="B10" i="3"/>
  <c r="C10" i="3"/>
  <c r="D10" i="3"/>
  <c r="E10" i="3"/>
  <c r="F10" i="3"/>
  <c r="G10" i="3"/>
  <c r="H10" i="3"/>
  <c r="I10" i="3" s="1"/>
  <c r="B11" i="3"/>
  <c r="C11" i="3"/>
  <c r="D11" i="3"/>
  <c r="E11" i="3"/>
  <c r="F11" i="3"/>
  <c r="G11" i="3"/>
  <c r="H11" i="3"/>
  <c r="I11" i="3" s="1"/>
  <c r="B12" i="3"/>
  <c r="C12" i="3"/>
  <c r="D12" i="3"/>
  <c r="E12" i="3"/>
  <c r="F12" i="3"/>
  <c r="G12" i="3"/>
  <c r="H12" i="3"/>
  <c r="I12" i="3" s="1"/>
  <c r="B13" i="3"/>
  <c r="C13" i="3"/>
  <c r="D13" i="3"/>
  <c r="E13" i="3"/>
  <c r="F13" i="3"/>
  <c r="G13" i="3"/>
  <c r="H13" i="3"/>
  <c r="I13" i="3" s="1"/>
  <c r="B14" i="3"/>
  <c r="C14" i="3"/>
  <c r="D14" i="3"/>
  <c r="E14" i="3"/>
  <c r="F14" i="3"/>
  <c r="G14" i="3"/>
  <c r="H14" i="3"/>
  <c r="I14" i="3" s="1"/>
  <c r="B15" i="3"/>
  <c r="C15" i="3"/>
  <c r="D15" i="3"/>
  <c r="E15" i="3"/>
  <c r="F15" i="3"/>
  <c r="G15" i="3"/>
  <c r="H15" i="3"/>
  <c r="I15" i="3" s="1"/>
  <c r="B16" i="3"/>
  <c r="C16" i="3"/>
  <c r="D16" i="3"/>
  <c r="E16" i="3"/>
  <c r="F16" i="3"/>
  <c r="G16" i="3"/>
  <c r="H16" i="3"/>
  <c r="I16" i="3" s="1"/>
  <c r="B17" i="3"/>
  <c r="C17" i="3"/>
  <c r="D17" i="3"/>
  <c r="E17" i="3"/>
  <c r="F17" i="3"/>
  <c r="G17" i="3"/>
  <c r="H17" i="3"/>
  <c r="I17" i="3" s="1"/>
  <c r="G33" i="3"/>
  <c r="H33" i="3"/>
  <c r="I33" i="3" s="1"/>
  <c r="B34" i="3"/>
  <c r="C34" i="3"/>
  <c r="D34" i="3"/>
  <c r="E34" i="3"/>
  <c r="F34" i="3"/>
  <c r="G34" i="3"/>
  <c r="H34" i="3"/>
  <c r="I34" i="3" s="1"/>
  <c r="B35" i="3"/>
  <c r="C35" i="3"/>
  <c r="D35" i="3"/>
  <c r="E35" i="3"/>
  <c r="F35" i="3"/>
  <c r="G35" i="3"/>
  <c r="H35" i="3"/>
  <c r="I35" i="3" s="1"/>
  <c r="B36" i="3"/>
  <c r="C36" i="3"/>
  <c r="D36" i="3"/>
  <c r="E36" i="3"/>
  <c r="F36" i="3"/>
  <c r="G36" i="3"/>
  <c r="H36" i="3"/>
  <c r="I36" i="3" s="1"/>
  <c r="B37" i="3"/>
  <c r="C37" i="3"/>
  <c r="D37" i="3"/>
  <c r="E37" i="3"/>
  <c r="F37" i="3"/>
  <c r="G37" i="3"/>
  <c r="H37" i="3"/>
  <c r="I37" i="3" s="1"/>
  <c r="B38" i="3"/>
  <c r="C38" i="3"/>
  <c r="D38" i="3"/>
  <c r="E38" i="3"/>
  <c r="F38" i="3"/>
  <c r="G38" i="3"/>
  <c r="H38" i="3"/>
  <c r="I38" i="3" s="1"/>
  <c r="B39" i="3"/>
  <c r="C39" i="3"/>
  <c r="D39" i="3"/>
  <c r="E39" i="3"/>
  <c r="F39" i="3"/>
  <c r="H39" i="3"/>
  <c r="I39" i="3" s="1"/>
  <c r="B40" i="3"/>
  <c r="E40" i="3"/>
  <c r="F40" i="3"/>
  <c r="C41" i="3"/>
  <c r="D41" i="3"/>
  <c r="E41" i="3"/>
  <c r="F41" i="3"/>
  <c r="C42" i="3"/>
  <c r="D42" i="3"/>
  <c r="E42" i="3"/>
  <c r="G42" i="3"/>
  <c r="F43" i="3"/>
  <c r="G43" i="3"/>
  <c r="H43" i="3"/>
  <c r="I43" i="3" s="1"/>
  <c r="B44" i="3"/>
  <c r="C44" i="3"/>
  <c r="D44" i="3"/>
  <c r="E44" i="3"/>
  <c r="F44" i="3"/>
  <c r="G44" i="3"/>
  <c r="H44" i="3"/>
  <c r="I44" i="3" s="1"/>
  <c r="B45" i="3"/>
  <c r="C45" i="3"/>
  <c r="D45" i="3"/>
  <c r="E45" i="3"/>
  <c r="F45" i="3"/>
  <c r="G45" i="3"/>
  <c r="H45" i="3"/>
  <c r="I45" i="3" s="1"/>
  <c r="B46" i="3"/>
  <c r="C46" i="3"/>
  <c r="D46" i="3"/>
  <c r="E46" i="3"/>
  <c r="F46" i="3"/>
  <c r="G46" i="3"/>
  <c r="H46" i="3"/>
  <c r="I46" i="3" s="1"/>
  <c r="B47" i="3"/>
  <c r="C47" i="3"/>
  <c r="D47" i="3"/>
  <c r="E47" i="3"/>
  <c r="F47" i="3"/>
  <c r="G47" i="3"/>
  <c r="H47" i="3"/>
  <c r="I47" i="3" s="1"/>
  <c r="B48" i="3"/>
  <c r="C48" i="3"/>
  <c r="D48" i="3"/>
  <c r="E48" i="3"/>
  <c r="F48" i="3"/>
  <c r="G48" i="3"/>
  <c r="H48" i="3"/>
  <c r="I48" i="3" s="1"/>
  <c r="B49" i="3"/>
  <c r="C49" i="3"/>
  <c r="D49" i="3"/>
  <c r="E49" i="3"/>
  <c r="F49" i="3"/>
  <c r="G49" i="3"/>
  <c r="H49" i="3"/>
  <c r="I49" i="3" s="1"/>
  <c r="B50" i="3"/>
  <c r="C50" i="3"/>
  <c r="D50" i="3"/>
  <c r="E50" i="3"/>
  <c r="F50" i="3"/>
  <c r="G50" i="3"/>
  <c r="H50" i="3"/>
  <c r="I50" i="3" s="1"/>
  <c r="B51" i="3"/>
  <c r="C51" i="3"/>
  <c r="D51" i="3"/>
  <c r="E51" i="3"/>
  <c r="F51" i="3"/>
  <c r="G51" i="3"/>
  <c r="H51" i="3"/>
  <c r="I51" i="3" s="1"/>
  <c r="B52" i="3"/>
  <c r="C52" i="3"/>
  <c r="D52" i="3"/>
  <c r="E52" i="3"/>
  <c r="F52" i="3"/>
  <c r="G52" i="3"/>
  <c r="H52" i="3"/>
  <c r="I52" i="3" s="1"/>
  <c r="B53" i="3"/>
  <c r="C53" i="3"/>
  <c r="D53" i="3"/>
  <c r="E53" i="3"/>
  <c r="F53" i="3"/>
  <c r="G53" i="3"/>
  <c r="H53" i="3"/>
  <c r="I53" i="3" s="1"/>
  <c r="B54" i="3"/>
  <c r="C54" i="3"/>
  <c r="D54" i="3"/>
  <c r="E54" i="3"/>
  <c r="F54" i="3"/>
  <c r="G54" i="3"/>
  <c r="H54" i="3"/>
  <c r="I54" i="3" s="1"/>
  <c r="B55" i="3"/>
  <c r="C55" i="3"/>
  <c r="G55" i="3"/>
  <c r="C56" i="3"/>
  <c r="G56" i="3"/>
  <c r="H57" i="3"/>
  <c r="I57" i="3" s="1"/>
  <c r="B58" i="3"/>
  <c r="C58" i="3"/>
  <c r="E58" i="3"/>
  <c r="H58" i="3"/>
  <c r="I58" i="3" s="1"/>
  <c r="C59" i="3"/>
  <c r="F59" i="3"/>
  <c r="G59" i="3"/>
  <c r="H59" i="3"/>
  <c r="I59" i="3" s="1"/>
  <c r="E60" i="3"/>
  <c r="B61" i="3"/>
  <c r="C61" i="3"/>
  <c r="G61" i="3"/>
  <c r="H61" i="3"/>
  <c r="I61" i="3" s="1"/>
  <c r="B62" i="3"/>
  <c r="E62" i="3"/>
  <c r="B63" i="3"/>
  <c r="C63" i="3"/>
  <c r="D63" i="3"/>
  <c r="E63" i="3"/>
  <c r="B64" i="3"/>
  <c r="G65" i="3"/>
  <c r="B66" i="3"/>
  <c r="C66" i="3"/>
  <c r="D66" i="3"/>
  <c r="E66" i="3"/>
  <c r="F66" i="3"/>
  <c r="C67" i="3"/>
  <c r="G67" i="3"/>
  <c r="B68" i="3"/>
  <c r="F68" i="3"/>
  <c r="G68" i="3"/>
  <c r="D77" i="3"/>
  <c r="G77" i="3"/>
  <c r="H77" i="3"/>
  <c r="I77" i="3" s="1"/>
  <c r="B78" i="3"/>
  <c r="E78" i="3"/>
  <c r="H78" i="3"/>
  <c r="B79" i="3"/>
  <c r="C79" i="3"/>
  <c r="D79" i="3"/>
  <c r="F79" i="3"/>
  <c r="G79" i="3"/>
  <c r="B80" i="3"/>
  <c r="C80" i="3"/>
  <c r="E80" i="3"/>
  <c r="G80" i="3"/>
  <c r="H80" i="3"/>
  <c r="I80" i="3" s="1"/>
  <c r="B18" i="3"/>
  <c r="C18" i="3"/>
  <c r="D18" i="3"/>
  <c r="E18" i="3"/>
  <c r="F18" i="3"/>
  <c r="G18" i="3"/>
  <c r="H18" i="3"/>
  <c r="I18" i="3" s="1"/>
  <c r="B19" i="3"/>
  <c r="C19" i="3"/>
  <c r="D19" i="3"/>
  <c r="E19" i="3"/>
  <c r="F19" i="3"/>
  <c r="G19" i="3"/>
  <c r="H19" i="3"/>
  <c r="I19" i="3" s="1"/>
  <c r="B20" i="3"/>
  <c r="C20" i="3"/>
  <c r="D20" i="3"/>
  <c r="E20" i="3"/>
  <c r="F20" i="3"/>
  <c r="G20" i="3"/>
  <c r="H20" i="3"/>
  <c r="I20" i="3" s="1"/>
  <c r="B21" i="3"/>
  <c r="C21" i="3"/>
  <c r="D21" i="3"/>
  <c r="E21" i="3"/>
  <c r="F21" i="3"/>
  <c r="G21" i="3"/>
  <c r="H21" i="3"/>
  <c r="I21" i="3" s="1"/>
  <c r="B22" i="3"/>
  <c r="C22" i="3"/>
  <c r="D22" i="3"/>
  <c r="E22" i="3"/>
  <c r="F22" i="3"/>
  <c r="G22" i="3"/>
  <c r="H22" i="3"/>
  <c r="I22" i="3" s="1"/>
  <c r="B23" i="3"/>
  <c r="C23" i="3"/>
  <c r="D23" i="3"/>
  <c r="E23" i="3"/>
  <c r="F23" i="3"/>
  <c r="G23" i="3"/>
  <c r="H23" i="3"/>
  <c r="I23" i="3" s="1"/>
  <c r="B24" i="3"/>
  <c r="C24" i="3"/>
  <c r="D24" i="3"/>
  <c r="E24" i="3"/>
  <c r="F24" i="3"/>
  <c r="G24" i="3"/>
  <c r="H24" i="3"/>
  <c r="I24" i="3" s="1"/>
  <c r="B25" i="3"/>
  <c r="C25" i="3"/>
  <c r="D25" i="3"/>
  <c r="E25" i="3"/>
  <c r="F25" i="3"/>
  <c r="G25" i="3"/>
  <c r="H25" i="3"/>
  <c r="I25" i="3" s="1"/>
  <c r="B26" i="3"/>
  <c r="C26" i="3"/>
  <c r="D26" i="3"/>
  <c r="E26" i="3"/>
  <c r="F26" i="3"/>
  <c r="G26" i="3"/>
  <c r="H26" i="3"/>
  <c r="I26" i="3" s="1"/>
  <c r="B27" i="3"/>
  <c r="C27" i="3"/>
  <c r="D27" i="3"/>
  <c r="E27" i="3"/>
  <c r="F27" i="3"/>
  <c r="G27" i="3"/>
  <c r="H27" i="3"/>
  <c r="I27" i="3" s="1"/>
  <c r="B28" i="3"/>
  <c r="C28" i="3"/>
  <c r="D28" i="3"/>
  <c r="E28" i="3"/>
  <c r="F28" i="3"/>
  <c r="G28" i="3"/>
  <c r="H28" i="3"/>
  <c r="I28" i="3" s="1"/>
  <c r="B29" i="3"/>
  <c r="C29" i="3"/>
  <c r="D29" i="3"/>
  <c r="E29" i="3"/>
  <c r="F29" i="3"/>
  <c r="G29" i="3"/>
  <c r="H29" i="3"/>
  <c r="I29" i="3" s="1"/>
  <c r="B30" i="3"/>
  <c r="C30" i="3"/>
  <c r="D30" i="3"/>
  <c r="E30" i="3"/>
  <c r="F30" i="3"/>
  <c r="G30" i="3"/>
  <c r="H30" i="3"/>
  <c r="I30" i="3" s="1"/>
  <c r="B31" i="3"/>
  <c r="C31" i="3"/>
  <c r="D31" i="3"/>
  <c r="E31" i="3"/>
  <c r="F31" i="3"/>
  <c r="G31" i="3"/>
  <c r="H31" i="3"/>
  <c r="I31" i="3" s="1"/>
  <c r="B32" i="3"/>
  <c r="C32" i="3"/>
  <c r="D32" i="3"/>
  <c r="E32" i="3"/>
  <c r="F32" i="3"/>
  <c r="G32" i="3"/>
  <c r="H32" i="3"/>
  <c r="I32" i="3" s="1"/>
  <c r="B33" i="3"/>
  <c r="C33" i="3"/>
  <c r="D33" i="3"/>
  <c r="E33" i="3"/>
  <c r="F33" i="3"/>
  <c r="G39" i="3"/>
  <c r="C40" i="3"/>
  <c r="D40" i="3"/>
  <c r="G40" i="3"/>
  <c r="H40" i="3"/>
  <c r="I40" i="3" s="1"/>
  <c r="B41" i="3"/>
  <c r="G41" i="3"/>
  <c r="H41" i="3"/>
  <c r="I41" i="3" s="1"/>
  <c r="B42" i="3"/>
  <c r="F42" i="3"/>
  <c r="H42" i="3"/>
  <c r="B43" i="3"/>
  <c r="C43" i="3"/>
  <c r="D43" i="3"/>
  <c r="E43" i="3"/>
  <c r="D55" i="3"/>
  <c r="E55" i="3"/>
  <c r="F55" i="3"/>
  <c r="H55" i="3"/>
  <c r="B56" i="3"/>
  <c r="D56" i="3"/>
  <c r="E56" i="3"/>
  <c r="F56" i="3"/>
  <c r="H56" i="3"/>
  <c r="B57" i="3"/>
  <c r="C57" i="3"/>
  <c r="D57" i="3"/>
  <c r="E57" i="3"/>
  <c r="F57" i="3"/>
  <c r="G57" i="3"/>
  <c r="D58" i="3"/>
  <c r="F58" i="3"/>
  <c r="G58" i="3"/>
  <c r="B59" i="3"/>
  <c r="D59" i="3"/>
  <c r="E59" i="3"/>
  <c r="B60" i="3"/>
  <c r="C60" i="3"/>
  <c r="D60" i="3"/>
  <c r="F60" i="3"/>
  <c r="G60" i="3"/>
  <c r="H60" i="3"/>
  <c r="I60" i="3" s="1"/>
  <c r="D61" i="3"/>
  <c r="E61" i="3"/>
  <c r="F61" i="3"/>
  <c r="C62" i="3"/>
  <c r="D62" i="3"/>
  <c r="F62" i="3"/>
  <c r="G62" i="3"/>
  <c r="H62" i="3"/>
  <c r="I62" i="3" s="1"/>
  <c r="F63" i="3"/>
  <c r="G63" i="3"/>
  <c r="H63" i="3"/>
  <c r="I63" i="3" s="1"/>
  <c r="C64" i="3"/>
  <c r="D64" i="3"/>
  <c r="E64" i="3"/>
  <c r="F64" i="3"/>
  <c r="G64" i="3"/>
  <c r="H64" i="3"/>
  <c r="I64" i="3" s="1"/>
  <c r="B65" i="3"/>
  <c r="C65" i="3"/>
  <c r="D65" i="3"/>
  <c r="E65" i="3"/>
  <c r="F65" i="3"/>
  <c r="H65" i="3"/>
  <c r="G66" i="3"/>
  <c r="H66" i="3"/>
  <c r="I66" i="3" s="1"/>
  <c r="B67" i="3"/>
  <c r="D67" i="3"/>
  <c r="E67" i="3"/>
  <c r="F67" i="3"/>
  <c r="H67" i="3"/>
  <c r="C68" i="3"/>
  <c r="D68" i="3"/>
  <c r="E68" i="3"/>
  <c r="H68" i="3"/>
  <c r="B69" i="3"/>
  <c r="C69" i="3"/>
  <c r="D69" i="3"/>
  <c r="E69" i="3"/>
  <c r="F69" i="3"/>
  <c r="G69" i="3"/>
  <c r="H69" i="3"/>
  <c r="I69" i="3" s="1"/>
  <c r="B70" i="3"/>
  <c r="C70" i="3"/>
  <c r="D70" i="3"/>
  <c r="E70" i="3"/>
  <c r="F70" i="3"/>
  <c r="G70" i="3"/>
  <c r="H70" i="3"/>
  <c r="I70" i="3" s="1"/>
  <c r="B71" i="3"/>
  <c r="C71" i="3"/>
  <c r="D71" i="3"/>
  <c r="E71" i="3"/>
  <c r="F71" i="3"/>
  <c r="G71" i="3"/>
  <c r="H71" i="3"/>
  <c r="I71" i="3" s="1"/>
  <c r="B72" i="3"/>
  <c r="C72" i="3"/>
  <c r="D72" i="3"/>
  <c r="E72" i="3"/>
  <c r="F72" i="3"/>
  <c r="G72" i="3"/>
  <c r="H72" i="3"/>
  <c r="I72" i="3" s="1"/>
  <c r="B73" i="3"/>
  <c r="C73" i="3"/>
  <c r="D73" i="3"/>
  <c r="E73" i="3"/>
  <c r="F73" i="3"/>
  <c r="G73" i="3"/>
  <c r="H73" i="3"/>
  <c r="I73" i="3" s="1"/>
  <c r="B74" i="3"/>
  <c r="C74" i="3"/>
  <c r="D74" i="3"/>
  <c r="E74" i="3"/>
  <c r="F74" i="3"/>
  <c r="G74" i="3"/>
  <c r="H74" i="3"/>
  <c r="I74" i="3" s="1"/>
  <c r="B75" i="3"/>
  <c r="C75" i="3"/>
  <c r="D75" i="3"/>
  <c r="E75" i="3"/>
  <c r="F75" i="3"/>
  <c r="G75" i="3"/>
  <c r="H75" i="3"/>
  <c r="I75" i="3" s="1"/>
  <c r="B76" i="3"/>
  <c r="C76" i="3"/>
  <c r="D76" i="3"/>
  <c r="E76" i="3"/>
  <c r="F76" i="3"/>
  <c r="G76" i="3"/>
  <c r="H76" i="3"/>
  <c r="I76" i="3" s="1"/>
  <c r="B77" i="3"/>
  <c r="C77" i="3"/>
  <c r="E77" i="3"/>
  <c r="F77" i="3"/>
  <c r="C78" i="3"/>
  <c r="D78" i="3"/>
  <c r="F78" i="3"/>
  <c r="G78" i="3"/>
  <c r="E79" i="3"/>
  <c r="H79" i="3"/>
  <c r="D80" i="3"/>
  <c r="F80" i="3"/>
  <c r="B8" i="3"/>
  <c r="I65" i="3" l="1"/>
  <c r="I67" i="3"/>
  <c r="I68" i="3"/>
  <c r="I79" i="3"/>
  <c r="AF147" i="1"/>
  <c r="AG97" i="1"/>
  <c r="AP97" i="1"/>
  <c r="D55" i="5"/>
  <c r="C55" i="5"/>
  <c r="D54" i="5"/>
  <c r="C54" i="5"/>
  <c r="D53" i="5"/>
  <c r="C53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52" i="5"/>
  <c r="C52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9" i="5"/>
  <c r="D61" i="5"/>
  <c r="C61" i="5"/>
  <c r="D43" i="5"/>
  <c r="C43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0" i="5"/>
  <c r="C60" i="5"/>
  <c r="D59" i="5"/>
  <c r="C59" i="5"/>
  <c r="D58" i="5"/>
  <c r="C58" i="5"/>
  <c r="D57" i="5"/>
  <c r="C57" i="5"/>
  <c r="D56" i="5"/>
  <c r="C56" i="5"/>
  <c r="H117" i="2"/>
  <c r="I8" i="2"/>
  <c r="P9" i="2"/>
  <c r="R9" i="2" s="1"/>
  <c r="J9" i="2"/>
  <c r="L9" i="2" s="1"/>
  <c r="M9" i="2"/>
  <c r="O9" i="2" s="1"/>
  <c r="M10" i="2"/>
  <c r="O10" i="2" s="1"/>
  <c r="J10" i="2"/>
  <c r="L10" i="2" s="1"/>
  <c r="P10" i="2"/>
  <c r="R10" i="2" s="1"/>
  <c r="M11" i="2"/>
  <c r="O11" i="2" s="1"/>
  <c r="P11" i="2"/>
  <c r="R11" i="2" s="1"/>
  <c r="J11" i="2"/>
  <c r="L11" i="2" s="1"/>
  <c r="S11" i="2" s="1"/>
  <c r="I10" i="1" s="1"/>
  <c r="P12" i="2"/>
  <c r="R12" i="2" s="1"/>
  <c r="M12" i="2"/>
  <c r="O12" i="2" s="1"/>
  <c r="J12" i="2"/>
  <c r="L12" i="2" s="1"/>
  <c r="S12" i="2" s="1"/>
  <c r="I11" i="1" s="1"/>
  <c r="P13" i="2"/>
  <c r="R13" i="2" s="1"/>
  <c r="J13" i="2"/>
  <c r="L13" i="2" s="1"/>
  <c r="M13" i="2"/>
  <c r="O13" i="2" s="1"/>
  <c r="M14" i="2"/>
  <c r="O14" i="2" s="1"/>
  <c r="P14" i="2"/>
  <c r="R14" i="2" s="1"/>
  <c r="J14" i="2"/>
  <c r="L14" i="2" s="1"/>
  <c r="S14" i="2" s="1"/>
  <c r="I13" i="1" s="1"/>
  <c r="M15" i="2"/>
  <c r="O15" i="2" s="1"/>
  <c r="J15" i="2"/>
  <c r="L15" i="2" s="1"/>
  <c r="P15" i="2"/>
  <c r="R15" i="2" s="1"/>
  <c r="P16" i="2"/>
  <c r="R16" i="2" s="1"/>
  <c r="J16" i="2"/>
  <c r="L16" i="2" s="1"/>
  <c r="M16" i="2"/>
  <c r="O16" i="2" s="1"/>
  <c r="M17" i="2"/>
  <c r="O17" i="2" s="1"/>
  <c r="J17" i="2"/>
  <c r="L17" i="2" s="1"/>
  <c r="P17" i="2"/>
  <c r="R17" i="2" s="1"/>
  <c r="P18" i="2"/>
  <c r="R18" i="2" s="1"/>
  <c r="J18" i="2"/>
  <c r="L18" i="2" s="1"/>
  <c r="M18" i="2"/>
  <c r="O18" i="2" s="1"/>
  <c r="P19" i="2"/>
  <c r="R19" i="2" s="1"/>
  <c r="J19" i="2"/>
  <c r="L19" i="2" s="1"/>
  <c r="M19" i="2"/>
  <c r="O19" i="2" s="1"/>
  <c r="M20" i="2"/>
  <c r="O20" i="2" s="1"/>
  <c r="J20" i="2"/>
  <c r="L20" i="2" s="1"/>
  <c r="P20" i="2"/>
  <c r="R20" i="2" s="1"/>
  <c r="M21" i="2"/>
  <c r="O21" i="2" s="1"/>
  <c r="P21" i="2"/>
  <c r="R21" i="2" s="1"/>
  <c r="J21" i="2"/>
  <c r="L21" i="2" s="1"/>
  <c r="S21" i="2" s="1"/>
  <c r="I20" i="1" s="1"/>
  <c r="M22" i="2"/>
  <c r="O22" i="2" s="1"/>
  <c r="J22" i="2"/>
  <c r="L22" i="2" s="1"/>
  <c r="P22" i="2"/>
  <c r="R22" i="2" s="1"/>
  <c r="M23" i="2"/>
  <c r="O23" i="2" s="1"/>
  <c r="J23" i="2"/>
  <c r="L23" i="2" s="1"/>
  <c r="P23" i="2"/>
  <c r="R23" i="2" s="1"/>
  <c r="P24" i="2"/>
  <c r="R24" i="2" s="1"/>
  <c r="J24" i="2"/>
  <c r="L24" i="2" s="1"/>
  <c r="M24" i="2"/>
  <c r="O24" i="2" s="1"/>
  <c r="M25" i="2"/>
  <c r="O25" i="2" s="1"/>
  <c r="J25" i="2"/>
  <c r="L25" i="2" s="1"/>
  <c r="P25" i="2"/>
  <c r="R25" i="2" s="1"/>
  <c r="J26" i="2"/>
  <c r="L26" i="2" s="1"/>
  <c r="M26" i="2"/>
  <c r="O26" i="2" s="1"/>
  <c r="P26" i="2"/>
  <c r="R26" i="2" s="1"/>
  <c r="P27" i="2"/>
  <c r="R27" i="2" s="1"/>
  <c r="J27" i="2"/>
  <c r="L27" i="2" s="1"/>
  <c r="M27" i="2"/>
  <c r="O27" i="2" s="1"/>
  <c r="J28" i="2"/>
  <c r="L28" i="2" s="1"/>
  <c r="M28" i="2"/>
  <c r="O28" i="2" s="1"/>
  <c r="P28" i="2"/>
  <c r="R28" i="2" s="1"/>
  <c r="M29" i="2"/>
  <c r="O29" i="2" s="1"/>
  <c r="P29" i="2"/>
  <c r="R29" i="2" s="1"/>
  <c r="J29" i="2"/>
  <c r="L29" i="2" s="1"/>
  <c r="S29" i="2" s="1"/>
  <c r="I28" i="1" s="1"/>
  <c r="J30" i="2"/>
  <c r="L30" i="2" s="1"/>
  <c r="M30" i="2"/>
  <c r="O30" i="2" s="1"/>
  <c r="P30" i="2"/>
  <c r="R30" i="2" s="1"/>
  <c r="J31" i="2"/>
  <c r="L31" i="2" s="1"/>
  <c r="M31" i="2"/>
  <c r="O31" i="2" s="1"/>
  <c r="P31" i="2"/>
  <c r="R31" i="2" s="1"/>
  <c r="J32" i="2"/>
  <c r="L32" i="2" s="1"/>
  <c r="M32" i="2"/>
  <c r="O32" i="2" s="1"/>
  <c r="P32" i="2"/>
  <c r="R32" i="2" s="1"/>
  <c r="J33" i="2"/>
  <c r="L33" i="2" s="1"/>
  <c r="M33" i="2"/>
  <c r="O33" i="2" s="1"/>
  <c r="P33" i="2"/>
  <c r="R33" i="2" s="1"/>
  <c r="J34" i="2"/>
  <c r="L34" i="2" s="1"/>
  <c r="M34" i="2"/>
  <c r="O34" i="2" s="1"/>
  <c r="P34" i="2"/>
  <c r="R34" i="2" s="1"/>
  <c r="J35" i="2"/>
  <c r="L35" i="2" s="1"/>
  <c r="M35" i="2"/>
  <c r="O35" i="2" s="1"/>
  <c r="P35" i="2"/>
  <c r="R35" i="2" s="1"/>
  <c r="J36" i="2"/>
  <c r="L36" i="2" s="1"/>
  <c r="M36" i="2"/>
  <c r="O36" i="2" s="1"/>
  <c r="P36" i="2"/>
  <c r="R36" i="2" s="1"/>
  <c r="J37" i="2"/>
  <c r="L37" i="2" s="1"/>
  <c r="M37" i="2"/>
  <c r="O37" i="2" s="1"/>
  <c r="P37" i="2"/>
  <c r="R37" i="2" s="1"/>
  <c r="M38" i="2"/>
  <c r="O38" i="2" s="1"/>
  <c r="P38" i="2"/>
  <c r="R38" i="2" s="1"/>
  <c r="J38" i="2"/>
  <c r="L38" i="2" s="1"/>
  <c r="S38" i="2" s="1"/>
  <c r="I37" i="1" s="1"/>
  <c r="P39" i="2"/>
  <c r="R39" i="2" s="1"/>
  <c r="J39" i="2"/>
  <c r="L39" i="2" s="1"/>
  <c r="M39" i="2"/>
  <c r="O39" i="2" s="1"/>
  <c r="J40" i="2"/>
  <c r="L40" i="2" s="1"/>
  <c r="M40" i="2"/>
  <c r="O40" i="2" s="1"/>
  <c r="P40" i="2"/>
  <c r="R40" i="2" s="1"/>
  <c r="J41" i="2"/>
  <c r="L41" i="2" s="1"/>
  <c r="M41" i="2"/>
  <c r="O41" i="2" s="1"/>
  <c r="P41" i="2"/>
  <c r="R41" i="2" s="1"/>
  <c r="P42" i="2"/>
  <c r="R42" i="2" s="1"/>
  <c r="J42" i="2"/>
  <c r="L42" i="2" s="1"/>
  <c r="M42" i="2"/>
  <c r="O42" i="2" s="1"/>
  <c r="J43" i="2"/>
  <c r="L43" i="2" s="1"/>
  <c r="S43" i="2" s="1"/>
  <c r="I42" i="1" s="1"/>
  <c r="M43" i="2"/>
  <c r="O43" i="2" s="1"/>
  <c r="P43" i="2"/>
  <c r="R43" i="2" s="1"/>
  <c r="M44" i="2"/>
  <c r="O44" i="2" s="1"/>
  <c r="J44" i="2"/>
  <c r="L44" i="2" s="1"/>
  <c r="P44" i="2"/>
  <c r="R44" i="2" s="1"/>
  <c r="P45" i="2"/>
  <c r="R45" i="2" s="1"/>
  <c r="J45" i="2"/>
  <c r="L45" i="2" s="1"/>
  <c r="M45" i="2"/>
  <c r="O45" i="2" s="1"/>
  <c r="J46" i="2"/>
  <c r="L46" i="2" s="1"/>
  <c r="M46" i="2"/>
  <c r="O46" i="2" s="1"/>
  <c r="P46" i="2"/>
  <c r="R46" i="2" s="1"/>
  <c r="J47" i="2"/>
  <c r="L47" i="2" s="1"/>
  <c r="M47" i="2"/>
  <c r="O47" i="2" s="1"/>
  <c r="P47" i="2"/>
  <c r="R47" i="2" s="1"/>
  <c r="J48" i="2"/>
  <c r="L48" i="2" s="1"/>
  <c r="M48" i="2"/>
  <c r="O48" i="2" s="1"/>
  <c r="P48" i="2"/>
  <c r="R48" i="2" s="1"/>
  <c r="J49" i="2"/>
  <c r="L49" i="2" s="1"/>
  <c r="M49" i="2"/>
  <c r="O49" i="2" s="1"/>
  <c r="P49" i="2"/>
  <c r="R49" i="2" s="1"/>
  <c r="J50" i="2"/>
  <c r="L50" i="2" s="1"/>
  <c r="M50" i="2"/>
  <c r="O50" i="2" s="1"/>
  <c r="P50" i="2"/>
  <c r="R50" i="2" s="1"/>
  <c r="J51" i="2"/>
  <c r="L51" i="2" s="1"/>
  <c r="M51" i="2"/>
  <c r="O51" i="2" s="1"/>
  <c r="P51" i="2"/>
  <c r="R51" i="2" s="1"/>
  <c r="P52" i="2"/>
  <c r="R52" i="2" s="1"/>
  <c r="J52" i="2"/>
  <c r="L52" i="2" s="1"/>
  <c r="M52" i="2"/>
  <c r="O52" i="2" s="1"/>
  <c r="M53" i="2"/>
  <c r="O53" i="2" s="1"/>
  <c r="P53" i="2"/>
  <c r="R53" i="2" s="1"/>
  <c r="J53" i="2"/>
  <c r="L53" i="2" s="1"/>
  <c r="S53" i="2" s="1"/>
  <c r="I52" i="1" s="1"/>
  <c r="M54" i="2"/>
  <c r="O54" i="2" s="1"/>
  <c r="P54" i="2"/>
  <c r="R54" i="2" s="1"/>
  <c r="J54" i="2"/>
  <c r="L54" i="2" s="1"/>
  <c r="S54" i="2" s="1"/>
  <c r="I53" i="1" s="1"/>
  <c r="M55" i="2"/>
  <c r="O55" i="2" s="1"/>
  <c r="J55" i="2"/>
  <c r="L55" i="2" s="1"/>
  <c r="P55" i="2"/>
  <c r="R55" i="2" s="1"/>
  <c r="J56" i="2"/>
  <c r="L56" i="2" s="1"/>
  <c r="M56" i="2"/>
  <c r="O56" i="2" s="1"/>
  <c r="P56" i="2"/>
  <c r="R56" i="2" s="1"/>
  <c r="M57" i="2"/>
  <c r="O57" i="2" s="1"/>
  <c r="P57" i="2"/>
  <c r="R57" i="2" s="1"/>
  <c r="J57" i="2"/>
  <c r="L57" i="2" s="1"/>
  <c r="S57" i="2" s="1"/>
  <c r="I56" i="1" s="1"/>
  <c r="P58" i="2"/>
  <c r="R58" i="2" s="1"/>
  <c r="J58" i="2"/>
  <c r="L58" i="2" s="1"/>
  <c r="M58" i="2"/>
  <c r="O58" i="2" s="1"/>
  <c r="M59" i="2"/>
  <c r="O59" i="2" s="1"/>
  <c r="J59" i="2"/>
  <c r="L59" i="2" s="1"/>
  <c r="P59" i="2"/>
  <c r="R59" i="2" s="1"/>
  <c r="J60" i="2"/>
  <c r="L60" i="2" s="1"/>
  <c r="M60" i="2"/>
  <c r="O60" i="2" s="1"/>
  <c r="P60" i="2"/>
  <c r="R60" i="2" s="1"/>
  <c r="J61" i="2"/>
  <c r="L61" i="2" s="1"/>
  <c r="M61" i="2"/>
  <c r="O61" i="2" s="1"/>
  <c r="P61" i="2"/>
  <c r="R61" i="2" s="1"/>
  <c r="M62" i="2"/>
  <c r="O62" i="2" s="1"/>
  <c r="P62" i="2"/>
  <c r="R62" i="2" s="1"/>
  <c r="J62" i="2"/>
  <c r="L62" i="2" s="1"/>
  <c r="S62" i="2" s="1"/>
  <c r="I61" i="1" s="1"/>
  <c r="J63" i="2"/>
  <c r="L63" i="2" s="1"/>
  <c r="M63" i="2"/>
  <c r="O63" i="2" s="1"/>
  <c r="P63" i="2"/>
  <c r="R63" i="2" s="1"/>
  <c r="J64" i="2"/>
  <c r="L64" i="2" s="1"/>
  <c r="M64" i="2"/>
  <c r="O64" i="2" s="1"/>
  <c r="P64" i="2"/>
  <c r="R64" i="2" s="1"/>
  <c r="J65" i="2"/>
  <c r="L65" i="2" s="1"/>
  <c r="M65" i="2"/>
  <c r="O65" i="2" s="1"/>
  <c r="P65" i="2"/>
  <c r="R65" i="2" s="1"/>
  <c r="J66" i="2"/>
  <c r="L66" i="2" s="1"/>
  <c r="M66" i="2"/>
  <c r="O66" i="2" s="1"/>
  <c r="P66" i="2"/>
  <c r="R66" i="2" s="1"/>
  <c r="J67" i="2"/>
  <c r="L67" i="2" s="1"/>
  <c r="M67" i="2"/>
  <c r="O67" i="2" s="1"/>
  <c r="P67" i="2"/>
  <c r="R67" i="2" s="1"/>
  <c r="J68" i="2"/>
  <c r="L68" i="2" s="1"/>
  <c r="M68" i="2"/>
  <c r="O68" i="2" s="1"/>
  <c r="P68" i="2"/>
  <c r="R68" i="2" s="1"/>
  <c r="J75" i="2"/>
  <c r="L75" i="2" s="1"/>
  <c r="M75" i="2"/>
  <c r="O75" i="2" s="1"/>
  <c r="P75" i="2"/>
  <c r="R75" i="2" s="1"/>
  <c r="J69" i="2"/>
  <c r="L69" i="2" s="1"/>
  <c r="M69" i="2"/>
  <c r="O69" i="2" s="1"/>
  <c r="P69" i="2"/>
  <c r="R69" i="2" s="1"/>
  <c r="J70" i="2"/>
  <c r="L70" i="2" s="1"/>
  <c r="M70" i="2"/>
  <c r="O70" i="2" s="1"/>
  <c r="P70" i="2"/>
  <c r="R70" i="2" s="1"/>
  <c r="J71" i="2"/>
  <c r="L71" i="2" s="1"/>
  <c r="M71" i="2"/>
  <c r="O71" i="2" s="1"/>
  <c r="P71" i="2"/>
  <c r="R71" i="2" s="1"/>
  <c r="J72" i="2"/>
  <c r="L72" i="2" s="1"/>
  <c r="M72" i="2"/>
  <c r="O72" i="2" s="1"/>
  <c r="P72" i="2"/>
  <c r="R72" i="2" s="1"/>
  <c r="J73" i="2"/>
  <c r="L73" i="2" s="1"/>
  <c r="M73" i="2"/>
  <c r="O73" i="2" s="1"/>
  <c r="P73" i="2"/>
  <c r="R73" i="2" s="1"/>
  <c r="J74" i="2"/>
  <c r="L74" i="2" s="1"/>
  <c r="M74" i="2"/>
  <c r="O74" i="2" s="1"/>
  <c r="P74" i="2"/>
  <c r="R74" i="2" s="1"/>
  <c r="J77" i="2"/>
  <c r="L77" i="2" s="1"/>
  <c r="M77" i="2"/>
  <c r="O77" i="2" s="1"/>
  <c r="P77" i="2"/>
  <c r="R77" i="2" s="1"/>
  <c r="J80" i="2"/>
  <c r="L80" i="2" s="1"/>
  <c r="M80" i="2"/>
  <c r="O80" i="2" s="1"/>
  <c r="P80" i="2"/>
  <c r="R80" i="2" s="1"/>
  <c r="J76" i="2"/>
  <c r="L76" i="2" s="1"/>
  <c r="M76" i="2"/>
  <c r="O76" i="2" s="1"/>
  <c r="P76" i="2"/>
  <c r="R76" i="2" s="1"/>
  <c r="J78" i="2"/>
  <c r="L78" i="2" s="1"/>
  <c r="M78" i="2"/>
  <c r="O78" i="2" s="1"/>
  <c r="P78" i="2"/>
  <c r="R78" i="2" s="1"/>
  <c r="H7" i="4"/>
  <c r="O8" i="4"/>
  <c r="R8" i="4"/>
  <c r="U8" i="4"/>
  <c r="H101" i="4"/>
  <c r="V8" i="1"/>
  <c r="W8" i="1"/>
  <c r="O9" i="4"/>
  <c r="Q9" i="4" s="1"/>
  <c r="X8" i="1" s="1"/>
  <c r="R9" i="4"/>
  <c r="T9" i="4" s="1"/>
  <c r="Y8" i="1" s="1"/>
  <c r="U9" i="4"/>
  <c r="W9" i="4" s="1"/>
  <c r="Z8" i="1" s="1"/>
  <c r="V9" i="1"/>
  <c r="W9" i="1"/>
  <c r="V7" i="1"/>
  <c r="W7" i="1"/>
  <c r="A8" i="4" a="1"/>
  <c r="A8" i="4" s="1"/>
  <c r="O10" i="4"/>
  <c r="Q10" i="4" s="1"/>
  <c r="X9" i="1" s="1"/>
  <c r="R10" i="4"/>
  <c r="T10" i="4" s="1"/>
  <c r="Y9" i="1" s="1"/>
  <c r="U10" i="4"/>
  <c r="W10" i="4" s="1"/>
  <c r="Z9" i="1" s="1"/>
  <c r="V10" i="1"/>
  <c r="W10" i="1"/>
  <c r="O11" i="4"/>
  <c r="Q11" i="4" s="1"/>
  <c r="X10" i="1" s="1"/>
  <c r="R11" i="4"/>
  <c r="T11" i="4" s="1"/>
  <c r="Y10" i="1" s="1"/>
  <c r="U11" i="4"/>
  <c r="W11" i="4" s="1"/>
  <c r="Z10" i="1" s="1"/>
  <c r="V11" i="1"/>
  <c r="W11" i="1"/>
  <c r="O12" i="4"/>
  <c r="Q12" i="4" s="1"/>
  <c r="X11" i="1" s="1"/>
  <c r="R12" i="4"/>
  <c r="T12" i="4" s="1"/>
  <c r="Y11" i="1" s="1"/>
  <c r="U12" i="4"/>
  <c r="W12" i="4" s="1"/>
  <c r="Z11" i="1" s="1"/>
  <c r="V12" i="1"/>
  <c r="W12" i="1"/>
  <c r="O13" i="4"/>
  <c r="Q13" i="4" s="1"/>
  <c r="X12" i="1" s="1"/>
  <c r="R13" i="4"/>
  <c r="T13" i="4" s="1"/>
  <c r="Y12" i="1" s="1"/>
  <c r="U13" i="4"/>
  <c r="W13" i="4" s="1"/>
  <c r="Z12" i="1" s="1"/>
  <c r="V13" i="1"/>
  <c r="W13" i="1"/>
  <c r="Z13" i="1"/>
  <c r="O14" i="4"/>
  <c r="Q14" i="4" s="1"/>
  <c r="X13" i="1" s="1"/>
  <c r="R14" i="4"/>
  <c r="T14" i="4" s="1"/>
  <c r="Y13" i="1" s="1"/>
  <c r="U14" i="4"/>
  <c r="W14" i="4" s="1"/>
  <c r="V14" i="1"/>
  <c r="W14" i="1"/>
  <c r="O15" i="4"/>
  <c r="Q15" i="4" s="1"/>
  <c r="X14" i="1" s="1"/>
  <c r="R15" i="4"/>
  <c r="T15" i="4" s="1"/>
  <c r="Y14" i="1" s="1"/>
  <c r="U15" i="4"/>
  <c r="W15" i="4" s="1"/>
  <c r="Z14" i="1" s="1"/>
  <c r="V15" i="1"/>
  <c r="W15" i="1"/>
  <c r="O16" i="4"/>
  <c r="Q16" i="4" s="1"/>
  <c r="X15" i="1" s="1"/>
  <c r="R16" i="4"/>
  <c r="T16" i="4" s="1"/>
  <c r="Y15" i="1" s="1"/>
  <c r="U16" i="4"/>
  <c r="W16" i="4" s="1"/>
  <c r="Z15" i="1" s="1"/>
  <c r="V16" i="1"/>
  <c r="W16" i="1"/>
  <c r="O17" i="4"/>
  <c r="Q17" i="4" s="1"/>
  <c r="X16" i="1" s="1"/>
  <c r="R17" i="4"/>
  <c r="T17" i="4" s="1"/>
  <c r="Y16" i="1" s="1"/>
  <c r="U17" i="4"/>
  <c r="W17" i="4" s="1"/>
  <c r="Z16" i="1" s="1"/>
  <c r="V17" i="1"/>
  <c r="W17" i="1"/>
  <c r="Y17" i="1"/>
  <c r="Z17" i="1"/>
  <c r="O18" i="4"/>
  <c r="Q18" i="4" s="1"/>
  <c r="X17" i="1" s="1"/>
  <c r="R18" i="4"/>
  <c r="T18" i="4" s="1"/>
  <c r="U18" i="4"/>
  <c r="W18" i="4" s="1"/>
  <c r="V18" i="1"/>
  <c r="W18" i="1"/>
  <c r="O19" i="4"/>
  <c r="Q19" i="4" s="1"/>
  <c r="X18" i="1" s="1"/>
  <c r="R19" i="4"/>
  <c r="T19" i="4" s="1"/>
  <c r="Y18" i="1" s="1"/>
  <c r="U19" i="4"/>
  <c r="W19" i="4" s="1"/>
  <c r="Z18" i="1" s="1"/>
  <c r="V19" i="1"/>
  <c r="W19" i="1"/>
  <c r="O20" i="4"/>
  <c r="Q20" i="4" s="1"/>
  <c r="X19" i="1" s="1"/>
  <c r="R20" i="4"/>
  <c r="T20" i="4" s="1"/>
  <c r="Y19" i="1" s="1"/>
  <c r="U20" i="4"/>
  <c r="W20" i="4" s="1"/>
  <c r="Z19" i="1" s="1"/>
  <c r="V20" i="1"/>
  <c r="W20" i="1"/>
  <c r="O21" i="4"/>
  <c r="Q21" i="4" s="1"/>
  <c r="X20" i="1" s="1"/>
  <c r="R21" i="4"/>
  <c r="T21" i="4" s="1"/>
  <c r="Y20" i="1" s="1"/>
  <c r="U21" i="4"/>
  <c r="W21" i="4" s="1"/>
  <c r="Z20" i="1" s="1"/>
  <c r="V21" i="1"/>
  <c r="W21" i="1"/>
  <c r="X21" i="1"/>
  <c r="Z21" i="1"/>
  <c r="O22" i="4"/>
  <c r="Q22" i="4" s="1"/>
  <c r="R22" i="4"/>
  <c r="T22" i="4" s="1"/>
  <c r="Y21" i="1" s="1"/>
  <c r="U22" i="4"/>
  <c r="W22" i="4" s="1"/>
  <c r="V22" i="1"/>
  <c r="W22" i="1"/>
  <c r="O23" i="4"/>
  <c r="Q23" i="4" s="1"/>
  <c r="X22" i="1" s="1"/>
  <c r="R23" i="4"/>
  <c r="T23" i="4" s="1"/>
  <c r="Y22" i="1" s="1"/>
  <c r="U23" i="4"/>
  <c r="W23" i="4" s="1"/>
  <c r="Z22" i="1" s="1"/>
  <c r="V23" i="1"/>
  <c r="W23" i="1"/>
  <c r="O24" i="4"/>
  <c r="Q24" i="4" s="1"/>
  <c r="X23" i="1" s="1"/>
  <c r="R24" i="4"/>
  <c r="T24" i="4" s="1"/>
  <c r="Y23" i="1" s="1"/>
  <c r="U24" i="4"/>
  <c r="W24" i="4" s="1"/>
  <c r="Z23" i="1" s="1"/>
  <c r="V24" i="1"/>
  <c r="W24" i="1"/>
  <c r="O25" i="4"/>
  <c r="Q25" i="4" s="1"/>
  <c r="X24" i="1" s="1"/>
  <c r="R25" i="4"/>
  <c r="T25" i="4" s="1"/>
  <c r="Y24" i="1" s="1"/>
  <c r="U25" i="4"/>
  <c r="W25" i="4" s="1"/>
  <c r="Z24" i="1" s="1"/>
  <c r="V25" i="1"/>
  <c r="W25" i="1"/>
  <c r="O26" i="4"/>
  <c r="Q26" i="4" s="1"/>
  <c r="X25" i="1" s="1"/>
  <c r="R26" i="4"/>
  <c r="T26" i="4" s="1"/>
  <c r="Y25" i="1" s="1"/>
  <c r="U26" i="4"/>
  <c r="W26" i="4" s="1"/>
  <c r="Z25" i="1" s="1"/>
  <c r="V26" i="1"/>
  <c r="W26" i="1"/>
  <c r="O27" i="4"/>
  <c r="Q27" i="4" s="1"/>
  <c r="X26" i="1" s="1"/>
  <c r="R27" i="4"/>
  <c r="T27" i="4" s="1"/>
  <c r="Y26" i="1" s="1"/>
  <c r="U27" i="4"/>
  <c r="W27" i="4" s="1"/>
  <c r="Z26" i="1" s="1"/>
  <c r="V27" i="1"/>
  <c r="W27" i="1"/>
  <c r="O28" i="4"/>
  <c r="Q28" i="4" s="1"/>
  <c r="X27" i="1" s="1"/>
  <c r="R28" i="4"/>
  <c r="T28" i="4" s="1"/>
  <c r="Y27" i="1" s="1"/>
  <c r="U28" i="4"/>
  <c r="W28" i="4" s="1"/>
  <c r="Z27" i="1" s="1"/>
  <c r="V28" i="1"/>
  <c r="W28" i="1"/>
  <c r="O29" i="4"/>
  <c r="Q29" i="4" s="1"/>
  <c r="X28" i="1" s="1"/>
  <c r="R29" i="4"/>
  <c r="T29" i="4" s="1"/>
  <c r="Y28" i="1" s="1"/>
  <c r="U29" i="4"/>
  <c r="W29" i="4" s="1"/>
  <c r="Z28" i="1" s="1"/>
  <c r="V29" i="1"/>
  <c r="W29" i="1"/>
  <c r="O30" i="4"/>
  <c r="Q30" i="4" s="1"/>
  <c r="X29" i="1" s="1"/>
  <c r="R30" i="4"/>
  <c r="T30" i="4" s="1"/>
  <c r="Y29" i="1" s="1"/>
  <c r="U30" i="4"/>
  <c r="W30" i="4" s="1"/>
  <c r="Z29" i="1" s="1"/>
  <c r="V30" i="1"/>
  <c r="W30" i="1"/>
  <c r="O31" i="4"/>
  <c r="Q31" i="4" s="1"/>
  <c r="X30" i="1" s="1"/>
  <c r="R31" i="4"/>
  <c r="T31" i="4" s="1"/>
  <c r="Y30" i="1" s="1"/>
  <c r="U31" i="4"/>
  <c r="W31" i="4" s="1"/>
  <c r="Z30" i="1" s="1"/>
  <c r="V31" i="1"/>
  <c r="W31" i="1"/>
  <c r="O32" i="4"/>
  <c r="Q32" i="4" s="1"/>
  <c r="X31" i="1" s="1"/>
  <c r="R32" i="4"/>
  <c r="T32" i="4" s="1"/>
  <c r="Y31" i="1" s="1"/>
  <c r="U32" i="4"/>
  <c r="W32" i="4" s="1"/>
  <c r="Z31" i="1" s="1"/>
  <c r="V32" i="1"/>
  <c r="W32" i="1"/>
  <c r="Y32" i="1"/>
  <c r="Z32" i="1"/>
  <c r="O33" i="4"/>
  <c r="Q33" i="4" s="1"/>
  <c r="X32" i="1" s="1"/>
  <c r="R33" i="4"/>
  <c r="T33" i="4" s="1"/>
  <c r="U33" i="4"/>
  <c r="W33" i="4" s="1"/>
  <c r="V33" i="1"/>
  <c r="W33" i="1"/>
  <c r="X33" i="1"/>
  <c r="Y33" i="1"/>
  <c r="Z33" i="1"/>
  <c r="O34" i="4"/>
  <c r="Q34" i="4" s="1"/>
  <c r="R34" i="4"/>
  <c r="T34" i="4" s="1"/>
  <c r="U34" i="4"/>
  <c r="W34" i="4" s="1"/>
  <c r="V34" i="1"/>
  <c r="W34" i="1"/>
  <c r="X34" i="1"/>
  <c r="Z34" i="1"/>
  <c r="O35" i="4"/>
  <c r="Q35" i="4" s="1"/>
  <c r="R35" i="4"/>
  <c r="T35" i="4" s="1"/>
  <c r="Y34" i="1" s="1"/>
  <c r="U35" i="4"/>
  <c r="W35" i="4" s="1"/>
  <c r="V35" i="1"/>
  <c r="W35" i="1"/>
  <c r="Y35" i="1"/>
  <c r="Z35" i="1"/>
  <c r="O36" i="4"/>
  <c r="Q36" i="4" s="1"/>
  <c r="X35" i="1" s="1"/>
  <c r="AA35" i="1" s="1"/>
  <c r="R36" i="4"/>
  <c r="T36" i="4" s="1"/>
  <c r="U36" i="4"/>
  <c r="W36" i="4" s="1"/>
  <c r="V36" i="1"/>
  <c r="W36" i="1"/>
  <c r="Y36" i="1"/>
  <c r="Z36" i="1"/>
  <c r="O37" i="4"/>
  <c r="Q37" i="4" s="1"/>
  <c r="X36" i="1" s="1"/>
  <c r="AA36" i="1" s="1"/>
  <c r="R37" i="4"/>
  <c r="T37" i="4" s="1"/>
  <c r="U37" i="4"/>
  <c r="W37" i="4" s="1"/>
  <c r="V37" i="1"/>
  <c r="W37" i="1"/>
  <c r="O38" i="4"/>
  <c r="Q38" i="4" s="1"/>
  <c r="X37" i="1" s="1"/>
  <c r="R38" i="4"/>
  <c r="T38" i="4" s="1"/>
  <c r="Y37" i="1" s="1"/>
  <c r="U38" i="4"/>
  <c r="W38" i="4" s="1"/>
  <c r="Z37" i="1" s="1"/>
  <c r="V38" i="1"/>
  <c r="W38" i="1"/>
  <c r="Z38" i="1"/>
  <c r="O39" i="4"/>
  <c r="Q39" i="4" s="1"/>
  <c r="X38" i="1" s="1"/>
  <c r="R39" i="4"/>
  <c r="T39" i="4" s="1"/>
  <c r="Y38" i="1" s="1"/>
  <c r="U39" i="4"/>
  <c r="W39" i="4" s="1"/>
  <c r="V39" i="1"/>
  <c r="W39" i="1"/>
  <c r="Z39" i="1"/>
  <c r="O40" i="4"/>
  <c r="Q40" i="4" s="1"/>
  <c r="X39" i="1" s="1"/>
  <c r="R40" i="4"/>
  <c r="T40" i="4" s="1"/>
  <c r="Y39" i="1" s="1"/>
  <c r="U40" i="4"/>
  <c r="W40" i="4" s="1"/>
  <c r="V40" i="1"/>
  <c r="W40" i="1"/>
  <c r="Z40" i="1"/>
  <c r="O41" i="4"/>
  <c r="Q41" i="4" s="1"/>
  <c r="X40" i="1" s="1"/>
  <c r="R41" i="4"/>
  <c r="T41" i="4" s="1"/>
  <c r="Y40" i="1" s="1"/>
  <c r="U41" i="4"/>
  <c r="W41" i="4" s="1"/>
  <c r="V41" i="1"/>
  <c r="W41" i="1"/>
  <c r="O42" i="4"/>
  <c r="Q42" i="4" s="1"/>
  <c r="X41" i="1" s="1"/>
  <c r="R42" i="4"/>
  <c r="T42" i="4" s="1"/>
  <c r="Y41" i="1" s="1"/>
  <c r="U42" i="4"/>
  <c r="W42" i="4" s="1"/>
  <c r="Z41" i="1" s="1"/>
  <c r="V42" i="1"/>
  <c r="W42" i="1"/>
  <c r="O43" i="4"/>
  <c r="Q43" i="4" s="1"/>
  <c r="X42" i="1" s="1"/>
  <c r="R43" i="4"/>
  <c r="T43" i="4" s="1"/>
  <c r="Y42" i="1" s="1"/>
  <c r="U43" i="4"/>
  <c r="W43" i="4" s="1"/>
  <c r="Z42" i="1" s="1"/>
  <c r="V43" i="1"/>
  <c r="W43" i="1"/>
  <c r="O44" i="4"/>
  <c r="Q44" i="4" s="1"/>
  <c r="X43" i="1" s="1"/>
  <c r="R44" i="4"/>
  <c r="T44" i="4" s="1"/>
  <c r="Y43" i="1" s="1"/>
  <c r="U44" i="4"/>
  <c r="W44" i="4" s="1"/>
  <c r="Z43" i="1" s="1"/>
  <c r="V44" i="1"/>
  <c r="W44" i="1"/>
  <c r="O45" i="4"/>
  <c r="Q45" i="4" s="1"/>
  <c r="X44" i="1" s="1"/>
  <c r="R45" i="4"/>
  <c r="T45" i="4" s="1"/>
  <c r="Y44" i="1" s="1"/>
  <c r="U45" i="4"/>
  <c r="W45" i="4" s="1"/>
  <c r="Z44" i="1" s="1"/>
  <c r="V45" i="1"/>
  <c r="W45" i="1"/>
  <c r="O46" i="4"/>
  <c r="Q46" i="4" s="1"/>
  <c r="X45" i="1" s="1"/>
  <c r="R46" i="4"/>
  <c r="T46" i="4" s="1"/>
  <c r="Y45" i="1" s="1"/>
  <c r="U46" i="4"/>
  <c r="W46" i="4" s="1"/>
  <c r="Z45" i="1" s="1"/>
  <c r="V46" i="1"/>
  <c r="W46" i="1"/>
  <c r="O47" i="4"/>
  <c r="Q47" i="4" s="1"/>
  <c r="X46" i="1" s="1"/>
  <c r="R47" i="4"/>
  <c r="T47" i="4" s="1"/>
  <c r="Y46" i="1" s="1"/>
  <c r="U47" i="4"/>
  <c r="W47" i="4" s="1"/>
  <c r="Z46" i="1" s="1"/>
  <c r="V47" i="1"/>
  <c r="W47" i="1"/>
  <c r="O48" i="4"/>
  <c r="Q48" i="4" s="1"/>
  <c r="X47" i="1" s="1"/>
  <c r="R48" i="4"/>
  <c r="T48" i="4" s="1"/>
  <c r="Y47" i="1" s="1"/>
  <c r="U48" i="4"/>
  <c r="W48" i="4" s="1"/>
  <c r="Z47" i="1" s="1"/>
  <c r="V48" i="1"/>
  <c r="W48" i="1"/>
  <c r="O49" i="4"/>
  <c r="Q49" i="4" s="1"/>
  <c r="X48" i="1" s="1"/>
  <c r="R49" i="4"/>
  <c r="T49" i="4" s="1"/>
  <c r="Y48" i="1" s="1"/>
  <c r="U49" i="4"/>
  <c r="W49" i="4" s="1"/>
  <c r="Z48" i="1" s="1"/>
  <c r="V49" i="1"/>
  <c r="W49" i="1"/>
  <c r="O50" i="4"/>
  <c r="Q50" i="4" s="1"/>
  <c r="X49" i="1" s="1"/>
  <c r="R50" i="4"/>
  <c r="T50" i="4" s="1"/>
  <c r="Y49" i="1" s="1"/>
  <c r="U50" i="4"/>
  <c r="W50" i="4" s="1"/>
  <c r="Z49" i="1" s="1"/>
  <c r="V50" i="1"/>
  <c r="W50" i="1"/>
  <c r="O51" i="4"/>
  <c r="Q51" i="4" s="1"/>
  <c r="X50" i="1" s="1"/>
  <c r="R51" i="4"/>
  <c r="T51" i="4" s="1"/>
  <c r="Y50" i="1" s="1"/>
  <c r="U51" i="4"/>
  <c r="W51" i="4" s="1"/>
  <c r="Z50" i="1" s="1"/>
  <c r="V51" i="1"/>
  <c r="W51" i="1"/>
  <c r="O52" i="4"/>
  <c r="Q52" i="4" s="1"/>
  <c r="X51" i="1" s="1"/>
  <c r="R52" i="4"/>
  <c r="T52" i="4" s="1"/>
  <c r="Y51" i="1" s="1"/>
  <c r="U52" i="4"/>
  <c r="W52" i="4" s="1"/>
  <c r="Z51" i="1" s="1"/>
  <c r="V52" i="1"/>
  <c r="W52" i="1"/>
  <c r="O53" i="4"/>
  <c r="Q53" i="4" s="1"/>
  <c r="X52" i="1" s="1"/>
  <c r="R53" i="4"/>
  <c r="T53" i="4" s="1"/>
  <c r="Y52" i="1" s="1"/>
  <c r="U53" i="4"/>
  <c r="W53" i="4" s="1"/>
  <c r="Z52" i="1" s="1"/>
  <c r="V53" i="1"/>
  <c r="W53" i="1"/>
  <c r="O54" i="4"/>
  <c r="Q54" i="4" s="1"/>
  <c r="X53" i="1" s="1"/>
  <c r="R54" i="4"/>
  <c r="T54" i="4" s="1"/>
  <c r="Y53" i="1" s="1"/>
  <c r="U54" i="4"/>
  <c r="W54" i="4" s="1"/>
  <c r="Z53" i="1" s="1"/>
  <c r="V54" i="1"/>
  <c r="W54" i="1"/>
  <c r="O55" i="4"/>
  <c r="Q55" i="4" s="1"/>
  <c r="X54" i="1" s="1"/>
  <c r="R55" i="4"/>
  <c r="T55" i="4" s="1"/>
  <c r="Y54" i="1" s="1"/>
  <c r="U55" i="4"/>
  <c r="W55" i="4" s="1"/>
  <c r="Z54" i="1" s="1"/>
  <c r="V55" i="1"/>
  <c r="W55" i="1"/>
  <c r="X55" i="1"/>
  <c r="Y55" i="1"/>
  <c r="Z55" i="1"/>
  <c r="O56" i="4"/>
  <c r="Q56" i="4" s="1"/>
  <c r="R56" i="4"/>
  <c r="T56" i="4" s="1"/>
  <c r="U56" i="4"/>
  <c r="W56" i="4" s="1"/>
  <c r="V56" i="1"/>
  <c r="W56" i="1"/>
  <c r="Y56" i="1"/>
  <c r="Z56" i="1"/>
  <c r="O57" i="4"/>
  <c r="Q57" i="4" s="1"/>
  <c r="X56" i="1" s="1"/>
  <c r="R57" i="4"/>
  <c r="T57" i="4" s="1"/>
  <c r="U57" i="4"/>
  <c r="W57" i="4" s="1"/>
  <c r="V57" i="1"/>
  <c r="W57" i="1"/>
  <c r="X57" i="1"/>
  <c r="Y57" i="1"/>
  <c r="Z57" i="1"/>
  <c r="O58" i="4"/>
  <c r="Q58" i="4" s="1"/>
  <c r="R58" i="4"/>
  <c r="T58" i="4" s="1"/>
  <c r="U58" i="4"/>
  <c r="W58" i="4" s="1"/>
  <c r="V58" i="1"/>
  <c r="W58" i="1"/>
  <c r="Y58" i="1"/>
  <c r="Z58" i="1"/>
  <c r="O59" i="4"/>
  <c r="Q59" i="4" s="1"/>
  <c r="X58" i="1" s="1"/>
  <c r="R59" i="4"/>
  <c r="T59" i="4" s="1"/>
  <c r="U59" i="4"/>
  <c r="W59" i="4" s="1"/>
  <c r="V59" i="1"/>
  <c r="W59" i="1"/>
  <c r="Z59" i="1"/>
  <c r="O60" i="4"/>
  <c r="Q60" i="4" s="1"/>
  <c r="X59" i="1" s="1"/>
  <c r="R60" i="4"/>
  <c r="T60" i="4" s="1"/>
  <c r="Y59" i="1" s="1"/>
  <c r="U60" i="4"/>
  <c r="W60" i="4" s="1"/>
  <c r="V60" i="1"/>
  <c r="W60" i="1"/>
  <c r="O61" i="4"/>
  <c r="Q61" i="4" s="1"/>
  <c r="X60" i="1" s="1"/>
  <c r="R61" i="4"/>
  <c r="T61" i="4" s="1"/>
  <c r="Y60" i="1" s="1"/>
  <c r="U61" i="4"/>
  <c r="W61" i="4" s="1"/>
  <c r="Z60" i="1" s="1"/>
  <c r="V61" i="1"/>
  <c r="W61" i="1"/>
  <c r="X61" i="1"/>
  <c r="Y61" i="1"/>
  <c r="Z61" i="1"/>
  <c r="O62" i="4"/>
  <c r="Q62" i="4" s="1"/>
  <c r="R62" i="4"/>
  <c r="T62" i="4" s="1"/>
  <c r="U62" i="4"/>
  <c r="W62" i="4" s="1"/>
  <c r="V62" i="1"/>
  <c r="W62" i="1"/>
  <c r="X62" i="1"/>
  <c r="Y62" i="1"/>
  <c r="Z62" i="1"/>
  <c r="O63" i="4"/>
  <c r="Q63" i="4" s="1"/>
  <c r="R63" i="4"/>
  <c r="T63" i="4" s="1"/>
  <c r="U63" i="4"/>
  <c r="W63" i="4" s="1"/>
  <c r="V63" i="1"/>
  <c r="W63" i="1"/>
  <c r="O64" i="4"/>
  <c r="Q64" i="4" s="1"/>
  <c r="X63" i="1" s="1"/>
  <c r="R64" i="4"/>
  <c r="T64" i="4" s="1"/>
  <c r="Y63" i="1" s="1"/>
  <c r="U64" i="4"/>
  <c r="W64" i="4" s="1"/>
  <c r="Z63" i="1" s="1"/>
  <c r="V64" i="1"/>
  <c r="W64" i="1"/>
  <c r="O65" i="4"/>
  <c r="Q65" i="4" s="1"/>
  <c r="X64" i="1" s="1"/>
  <c r="R65" i="4"/>
  <c r="T65" i="4" s="1"/>
  <c r="Y64" i="1" s="1"/>
  <c r="U65" i="4"/>
  <c r="W65" i="4" s="1"/>
  <c r="Z64" i="1" s="1"/>
  <c r="V65" i="1"/>
  <c r="W65" i="1"/>
  <c r="O66" i="4"/>
  <c r="Q66" i="4" s="1"/>
  <c r="X65" i="1" s="1"/>
  <c r="R66" i="4"/>
  <c r="T66" i="4" s="1"/>
  <c r="Y65" i="1" s="1"/>
  <c r="U66" i="4"/>
  <c r="W66" i="4" s="1"/>
  <c r="Z65" i="1" s="1"/>
  <c r="V66" i="1"/>
  <c r="W66" i="1"/>
  <c r="O67" i="4"/>
  <c r="Q67" i="4" s="1"/>
  <c r="X66" i="1" s="1"/>
  <c r="R67" i="4"/>
  <c r="T67" i="4" s="1"/>
  <c r="Y66" i="1" s="1"/>
  <c r="U67" i="4"/>
  <c r="W67" i="4" s="1"/>
  <c r="Z66" i="1" s="1"/>
  <c r="V67" i="1"/>
  <c r="W67" i="1"/>
  <c r="O68" i="4"/>
  <c r="Q68" i="4" s="1"/>
  <c r="X67" i="1" s="1"/>
  <c r="R68" i="4"/>
  <c r="T68" i="4" s="1"/>
  <c r="Y67" i="1" s="1"/>
  <c r="U68" i="4"/>
  <c r="W68" i="4" s="1"/>
  <c r="Z67" i="1" s="1"/>
  <c r="V68" i="1"/>
  <c r="W68" i="1"/>
  <c r="O69" i="4"/>
  <c r="Q69" i="4" s="1"/>
  <c r="X68" i="1" s="1"/>
  <c r="R69" i="4"/>
  <c r="T69" i="4" s="1"/>
  <c r="Y68" i="1" s="1"/>
  <c r="U69" i="4"/>
  <c r="W69" i="4" s="1"/>
  <c r="Z68" i="1" s="1"/>
  <c r="V69" i="1"/>
  <c r="W69" i="1"/>
  <c r="D26" i="6" s="1"/>
  <c r="O70" i="4"/>
  <c r="Q70" i="4" s="1"/>
  <c r="X69" i="1" s="1"/>
  <c r="D27" i="6" s="1"/>
  <c r="R70" i="4"/>
  <c r="T70" i="4" s="1"/>
  <c r="Y69" i="1" s="1"/>
  <c r="D28" i="6" s="1"/>
  <c r="U70" i="4"/>
  <c r="W70" i="4" s="1"/>
  <c r="Z69" i="1" s="1"/>
  <c r="D29" i="6" s="1"/>
  <c r="V70" i="1"/>
  <c r="W70" i="1"/>
  <c r="O71" i="4"/>
  <c r="Q71" i="4" s="1"/>
  <c r="X70" i="1" s="1"/>
  <c r="R71" i="4"/>
  <c r="T71" i="4" s="1"/>
  <c r="Y70" i="1" s="1"/>
  <c r="U71" i="4"/>
  <c r="W71" i="4" s="1"/>
  <c r="Z70" i="1" s="1"/>
  <c r="V71" i="1"/>
  <c r="W71" i="1"/>
  <c r="O72" i="4"/>
  <c r="Q72" i="4" s="1"/>
  <c r="X71" i="1" s="1"/>
  <c r="R72" i="4"/>
  <c r="T72" i="4" s="1"/>
  <c r="Y71" i="1" s="1"/>
  <c r="U72" i="4"/>
  <c r="W72" i="4" s="1"/>
  <c r="Z71" i="1" s="1"/>
  <c r="V72" i="1"/>
  <c r="W72" i="1"/>
  <c r="O73" i="4"/>
  <c r="Q73" i="4" s="1"/>
  <c r="X72" i="1" s="1"/>
  <c r="R73" i="4"/>
  <c r="T73" i="4" s="1"/>
  <c r="Y72" i="1" s="1"/>
  <c r="U73" i="4"/>
  <c r="W73" i="4" s="1"/>
  <c r="Z72" i="1" s="1"/>
  <c r="V73" i="1"/>
  <c r="W73" i="1"/>
  <c r="O74" i="4"/>
  <c r="Q74" i="4" s="1"/>
  <c r="X73" i="1" s="1"/>
  <c r="R74" i="4"/>
  <c r="T74" i="4" s="1"/>
  <c r="Y73" i="1" s="1"/>
  <c r="U74" i="4"/>
  <c r="W74" i="4" s="1"/>
  <c r="Z73" i="1" s="1"/>
  <c r="V74" i="1"/>
  <c r="W74" i="1"/>
  <c r="O75" i="4"/>
  <c r="Q75" i="4" s="1"/>
  <c r="X74" i="1" s="1"/>
  <c r="R75" i="4"/>
  <c r="T75" i="4" s="1"/>
  <c r="Y74" i="1" s="1"/>
  <c r="U75" i="4"/>
  <c r="W75" i="4" s="1"/>
  <c r="Z74" i="1" s="1"/>
  <c r="V75" i="1"/>
  <c r="W75" i="1"/>
  <c r="O76" i="4"/>
  <c r="Q76" i="4" s="1"/>
  <c r="X75" i="1" s="1"/>
  <c r="R76" i="4"/>
  <c r="T76" i="4" s="1"/>
  <c r="Y75" i="1" s="1"/>
  <c r="U76" i="4"/>
  <c r="W76" i="4" s="1"/>
  <c r="Z75" i="1" s="1"/>
  <c r="V76" i="1"/>
  <c r="W76" i="1"/>
  <c r="Y76" i="1"/>
  <c r="O77" i="4"/>
  <c r="Q77" i="4" s="1"/>
  <c r="X76" i="1" s="1"/>
  <c r="R77" i="4"/>
  <c r="T77" i="4" s="1"/>
  <c r="U77" i="4"/>
  <c r="W77" i="4" s="1"/>
  <c r="Z76" i="1" s="1"/>
  <c r="V77" i="1"/>
  <c r="X77" i="1"/>
  <c r="W77" i="1"/>
  <c r="Y77" i="1"/>
  <c r="Z77" i="1"/>
  <c r="O78" i="4"/>
  <c r="Q78" i="4" s="1"/>
  <c r="R78" i="4"/>
  <c r="T78" i="4" s="1"/>
  <c r="U78" i="4"/>
  <c r="W78" i="4" s="1"/>
  <c r="V78" i="1"/>
  <c r="X78" i="1"/>
  <c r="Z78" i="1"/>
  <c r="W78" i="1"/>
  <c r="Y78" i="1"/>
  <c r="O79" i="4"/>
  <c r="Q79" i="4" s="1"/>
  <c r="R79" i="4"/>
  <c r="T79" i="4" s="1"/>
  <c r="U79" i="4"/>
  <c r="W79" i="4" s="1"/>
  <c r="V79" i="1"/>
  <c r="W79" i="1"/>
  <c r="X79" i="1"/>
  <c r="Y79" i="1"/>
  <c r="Z79" i="1"/>
  <c r="O80" i="4"/>
  <c r="Q80" i="4" s="1"/>
  <c r="R80" i="4"/>
  <c r="T80" i="4" s="1"/>
  <c r="U80" i="4"/>
  <c r="W80" i="4" s="1"/>
  <c r="J8" i="3"/>
  <c r="K8" i="3" s="1"/>
  <c r="J9" i="3"/>
  <c r="K9" i="3" s="1"/>
  <c r="M9" i="3" s="1"/>
  <c r="J8" i="1" s="1"/>
  <c r="J10" i="3"/>
  <c r="K10" i="3" s="1"/>
  <c r="M10" i="3" s="1"/>
  <c r="J9" i="1" s="1"/>
  <c r="J11" i="3"/>
  <c r="K11" i="3" s="1"/>
  <c r="M11" i="3" s="1"/>
  <c r="J10" i="1" s="1"/>
  <c r="J12" i="3"/>
  <c r="K12" i="3" s="1"/>
  <c r="M12" i="3" s="1"/>
  <c r="J11" i="1" s="1"/>
  <c r="J13" i="3"/>
  <c r="K13" i="3" s="1"/>
  <c r="M13" i="3" s="1"/>
  <c r="J12" i="1" s="1"/>
  <c r="J14" i="3"/>
  <c r="K14" i="3" s="1"/>
  <c r="M14" i="3" s="1"/>
  <c r="J13" i="1" s="1"/>
  <c r="J15" i="3"/>
  <c r="K15" i="3"/>
  <c r="M15" i="3" s="1"/>
  <c r="J14" i="1" s="1"/>
  <c r="J16" i="3"/>
  <c r="K16" i="3" s="1"/>
  <c r="M16" i="3" s="1"/>
  <c r="J15" i="1" s="1"/>
  <c r="J17" i="3"/>
  <c r="K17" i="3" s="1"/>
  <c r="M17" i="3" s="1"/>
  <c r="J16" i="1" s="1"/>
  <c r="J33" i="3"/>
  <c r="K33" i="3" s="1"/>
  <c r="M33" i="3" s="1"/>
  <c r="J32" i="1" s="1"/>
  <c r="J34" i="3"/>
  <c r="K34" i="3"/>
  <c r="M34" i="3" s="1"/>
  <c r="J33" i="1" s="1"/>
  <c r="J35" i="3"/>
  <c r="K35" i="3" s="1"/>
  <c r="M35" i="3" s="1"/>
  <c r="J34" i="1" s="1"/>
  <c r="J36" i="3"/>
  <c r="K36" i="3" s="1"/>
  <c r="M36" i="3" s="1"/>
  <c r="J35" i="1" s="1"/>
  <c r="J37" i="3"/>
  <c r="K37" i="3" s="1"/>
  <c r="M37" i="3" s="1"/>
  <c r="J36" i="1" s="1"/>
  <c r="J38" i="3"/>
  <c r="K38" i="3" s="1"/>
  <c r="M38" i="3" s="1"/>
  <c r="J37" i="1" s="1"/>
  <c r="J39" i="3"/>
  <c r="K39" i="3"/>
  <c r="M39" i="3" s="1"/>
  <c r="J38" i="1" s="1"/>
  <c r="J43" i="3"/>
  <c r="K43" i="3"/>
  <c r="M43" i="3" s="1"/>
  <c r="J42" i="1" s="1"/>
  <c r="J44" i="3"/>
  <c r="K44" i="3"/>
  <c r="M44" i="3" s="1"/>
  <c r="J43" i="1" s="1"/>
  <c r="J45" i="3"/>
  <c r="K45" i="3"/>
  <c r="M45" i="3" s="1"/>
  <c r="J44" i="1" s="1"/>
  <c r="J46" i="3"/>
  <c r="K46" i="3"/>
  <c r="M46" i="3" s="1"/>
  <c r="J45" i="1" s="1"/>
  <c r="J47" i="3"/>
  <c r="K47" i="3"/>
  <c r="M47" i="3" s="1"/>
  <c r="J46" i="1" s="1"/>
  <c r="J48" i="3"/>
  <c r="K48" i="3" s="1"/>
  <c r="M48" i="3" s="1"/>
  <c r="J47" i="1" s="1"/>
  <c r="J49" i="3"/>
  <c r="K49" i="3" s="1"/>
  <c r="M49" i="3" s="1"/>
  <c r="J48" i="1" s="1"/>
  <c r="J50" i="3"/>
  <c r="K50" i="3" s="1"/>
  <c r="M50" i="3" s="1"/>
  <c r="J49" i="1" s="1"/>
  <c r="J51" i="3"/>
  <c r="K51" i="3" s="1"/>
  <c r="M51" i="3" s="1"/>
  <c r="J50" i="1" s="1"/>
  <c r="J52" i="3"/>
  <c r="K52" i="3" s="1"/>
  <c r="M52" i="3" s="1"/>
  <c r="J51" i="1" s="1"/>
  <c r="J53" i="3"/>
  <c r="K53" i="3"/>
  <c r="M53" i="3" s="1"/>
  <c r="J52" i="1" s="1"/>
  <c r="J54" i="3"/>
  <c r="K54" i="3" s="1"/>
  <c r="M54" i="3" s="1"/>
  <c r="J53" i="1" s="1"/>
  <c r="J57" i="3"/>
  <c r="K57" i="3"/>
  <c r="M57" i="3" s="1"/>
  <c r="J56" i="1" s="1"/>
  <c r="J58" i="3"/>
  <c r="K58" i="3" s="1"/>
  <c r="M58" i="3" s="1"/>
  <c r="J57" i="1" s="1"/>
  <c r="J59" i="3"/>
  <c r="K59" i="3"/>
  <c r="M59" i="3" s="1"/>
  <c r="J58" i="1" s="1"/>
  <c r="J61" i="3"/>
  <c r="K61" i="3" s="1"/>
  <c r="M61" i="3" s="1"/>
  <c r="J60" i="1" s="1"/>
  <c r="J77" i="3"/>
  <c r="K77" i="3" s="1"/>
  <c r="M77" i="3" s="1"/>
  <c r="J76" i="1" s="1"/>
  <c r="J80" i="3"/>
  <c r="K80" i="3"/>
  <c r="M80" i="3" s="1"/>
  <c r="J79" i="1" s="1"/>
  <c r="J18" i="3"/>
  <c r="K18" i="3" s="1"/>
  <c r="M18" i="3" s="1"/>
  <c r="J17" i="1" s="1"/>
  <c r="J19" i="3"/>
  <c r="K19" i="3" s="1"/>
  <c r="M19" i="3" s="1"/>
  <c r="J18" i="1" s="1"/>
  <c r="J20" i="3"/>
  <c r="K20" i="3" s="1"/>
  <c r="M20" i="3" s="1"/>
  <c r="J19" i="1" s="1"/>
  <c r="J21" i="3"/>
  <c r="K21" i="3" s="1"/>
  <c r="M21" i="3" s="1"/>
  <c r="J20" i="1" s="1"/>
  <c r="J22" i="3"/>
  <c r="K22" i="3"/>
  <c r="M22" i="3" s="1"/>
  <c r="J21" i="1" s="1"/>
  <c r="J23" i="3"/>
  <c r="K23" i="3"/>
  <c r="M23" i="3" s="1"/>
  <c r="J22" i="1" s="1"/>
  <c r="J24" i="3"/>
  <c r="K24" i="3"/>
  <c r="M24" i="3" s="1"/>
  <c r="J23" i="1" s="1"/>
  <c r="J25" i="3"/>
  <c r="K25" i="3" s="1"/>
  <c r="M25" i="3" s="1"/>
  <c r="J24" i="1" s="1"/>
  <c r="J26" i="3"/>
  <c r="K26" i="3" s="1"/>
  <c r="M26" i="3" s="1"/>
  <c r="J25" i="1" s="1"/>
  <c r="J27" i="3"/>
  <c r="K27" i="3" s="1"/>
  <c r="M27" i="3" s="1"/>
  <c r="J26" i="1" s="1"/>
  <c r="J28" i="3"/>
  <c r="K28" i="3" s="1"/>
  <c r="M28" i="3" s="1"/>
  <c r="J27" i="1" s="1"/>
  <c r="J29" i="3"/>
  <c r="K29" i="3" s="1"/>
  <c r="M29" i="3" s="1"/>
  <c r="J28" i="1" s="1"/>
  <c r="J30" i="3"/>
  <c r="K30" i="3" s="1"/>
  <c r="M30" i="3" s="1"/>
  <c r="J29" i="1" s="1"/>
  <c r="J31" i="3"/>
  <c r="K31" i="3" s="1"/>
  <c r="M31" i="3" s="1"/>
  <c r="J30" i="1" s="1"/>
  <c r="J32" i="3"/>
  <c r="K32" i="3" s="1"/>
  <c r="M32" i="3" s="1"/>
  <c r="J31" i="1" s="1"/>
  <c r="J40" i="3"/>
  <c r="K40" i="3"/>
  <c r="M40" i="3" s="1"/>
  <c r="J39" i="1" s="1"/>
  <c r="J41" i="3"/>
  <c r="K41" i="3"/>
  <c r="M41" i="3" s="1"/>
  <c r="J40" i="1" s="1"/>
  <c r="J60" i="3"/>
  <c r="K60" i="3" s="1"/>
  <c r="M60" i="3" s="1"/>
  <c r="J59" i="1" s="1"/>
  <c r="J62" i="3"/>
  <c r="K62" i="3" s="1"/>
  <c r="M62" i="3" s="1"/>
  <c r="J61" i="1" s="1"/>
  <c r="J63" i="3"/>
  <c r="K63" i="3" s="1"/>
  <c r="M63" i="3" s="1"/>
  <c r="J62" i="1" s="1"/>
  <c r="J64" i="3"/>
  <c r="K64" i="3"/>
  <c r="M64" i="3" s="1"/>
  <c r="J63" i="1" s="1"/>
  <c r="J65" i="3"/>
  <c r="K65" i="3" s="1"/>
  <c r="M65" i="3" s="1"/>
  <c r="J64" i="1" s="1"/>
  <c r="J66" i="3"/>
  <c r="K66" i="3" s="1"/>
  <c r="M66" i="3" s="1"/>
  <c r="J65" i="1" s="1"/>
  <c r="J67" i="3"/>
  <c r="K67" i="3" s="1"/>
  <c r="M67" i="3" s="1"/>
  <c r="J66" i="1" s="1"/>
  <c r="J68" i="3"/>
  <c r="K68" i="3"/>
  <c r="M68" i="3" s="1"/>
  <c r="J67" i="1" s="1"/>
  <c r="J69" i="3"/>
  <c r="K69" i="3" s="1"/>
  <c r="M69" i="3" s="1"/>
  <c r="J68" i="1" s="1"/>
  <c r="J70" i="3"/>
  <c r="K70" i="3" s="1"/>
  <c r="M70" i="3" s="1"/>
  <c r="J69" i="1" s="1"/>
  <c r="D12" i="6" s="1"/>
  <c r="J71" i="3"/>
  <c r="K71" i="3" s="1"/>
  <c r="M71" i="3" s="1"/>
  <c r="J70" i="1" s="1"/>
  <c r="J72" i="3"/>
  <c r="K72" i="3" s="1"/>
  <c r="M72" i="3" s="1"/>
  <c r="J71" i="1" s="1"/>
  <c r="J73" i="3"/>
  <c r="K73" i="3" s="1"/>
  <c r="M73" i="3" s="1"/>
  <c r="J72" i="1" s="1"/>
  <c r="J74" i="3"/>
  <c r="K74" i="3" s="1"/>
  <c r="M74" i="3" s="1"/>
  <c r="J73" i="1" s="1"/>
  <c r="J75" i="3"/>
  <c r="K75" i="3" s="1"/>
  <c r="M75" i="3" s="1"/>
  <c r="J74" i="1" s="1"/>
  <c r="J76" i="3"/>
  <c r="K76" i="3" s="1"/>
  <c r="M76" i="3" s="1"/>
  <c r="J75" i="1" s="1"/>
  <c r="J79" i="3"/>
  <c r="K79" i="3" s="1"/>
  <c r="M79" i="3" s="1"/>
  <c r="J78" i="1" s="1"/>
  <c r="A8" i="3" a="1"/>
  <c r="A8" i="3" s="1"/>
  <c r="I79" i="2"/>
  <c r="G117" i="2"/>
  <c r="I78" i="3"/>
  <c r="I42" i="3"/>
  <c r="I55" i="3"/>
  <c r="I56" i="3"/>
  <c r="AA72" i="1" l="1"/>
  <c r="E72" i="5" s="1"/>
  <c r="S22" i="2"/>
  <c r="I21" i="1" s="1"/>
  <c r="AA15" i="1"/>
  <c r="S64" i="2"/>
  <c r="I63" i="1" s="1"/>
  <c r="S72" i="2"/>
  <c r="I71" i="1" s="1"/>
  <c r="I101" i="3"/>
  <c r="I7" i="3"/>
  <c r="AA17" i="1"/>
  <c r="AA52" i="1"/>
  <c r="P8" i="2"/>
  <c r="J8" i="2"/>
  <c r="I117" i="2"/>
  <c r="M8" i="2"/>
  <c r="AO10" i="1"/>
  <c r="F10" i="5" s="1"/>
  <c r="T10" i="1"/>
  <c r="AO11" i="1"/>
  <c r="F11" i="5" s="1"/>
  <c r="T11" i="1"/>
  <c r="AO13" i="1"/>
  <c r="F13" i="5" s="1"/>
  <c r="T13" i="1"/>
  <c r="AO20" i="1"/>
  <c r="F20" i="5" s="1"/>
  <c r="T20" i="1"/>
  <c r="AO21" i="1"/>
  <c r="F21" i="5" s="1"/>
  <c r="T21" i="1"/>
  <c r="AO37" i="1"/>
  <c r="F37" i="5" s="1"/>
  <c r="T37" i="1"/>
  <c r="AB37" i="1" s="1"/>
  <c r="AO42" i="1"/>
  <c r="F42" i="5" s="1"/>
  <c r="T42" i="1"/>
  <c r="AO52" i="1"/>
  <c r="F52" i="5" s="1"/>
  <c r="T52" i="1"/>
  <c r="AO53" i="1"/>
  <c r="F53" i="5" s="1"/>
  <c r="T53" i="1"/>
  <c r="AO56" i="1"/>
  <c r="F56" i="5" s="1"/>
  <c r="T56" i="1"/>
  <c r="AO61" i="1"/>
  <c r="F61" i="5" s="1"/>
  <c r="T61" i="1"/>
  <c r="AO63" i="1"/>
  <c r="F63" i="5" s="1"/>
  <c r="T63" i="1"/>
  <c r="AO71" i="1"/>
  <c r="F71" i="5" s="1"/>
  <c r="T71" i="1"/>
  <c r="Q8" i="4"/>
  <c r="O101" i="4"/>
  <c r="O7" i="4"/>
  <c r="T8" i="4"/>
  <c r="R101" i="4"/>
  <c r="R7" i="4"/>
  <c r="W8" i="4"/>
  <c r="U101" i="4"/>
  <c r="U7" i="4"/>
  <c r="V99" i="1"/>
  <c r="W99" i="1"/>
  <c r="E15" i="5"/>
  <c r="AM15" i="1"/>
  <c r="AN15" i="1" s="1"/>
  <c r="E35" i="5"/>
  <c r="AM35" i="1"/>
  <c r="AN35" i="1" s="1"/>
  <c r="E36" i="5"/>
  <c r="AM36" i="1"/>
  <c r="AN36" i="1" s="1"/>
  <c r="AA69" i="1"/>
  <c r="D25" i="6"/>
  <c r="G72" i="5"/>
  <c r="H72" i="5" s="1"/>
  <c r="I72" i="5" s="1"/>
  <c r="J72" i="5" s="1"/>
  <c r="M8" i="3"/>
  <c r="P79" i="2"/>
  <c r="R79" i="2" s="1"/>
  <c r="M79" i="2"/>
  <c r="O79" i="2" s="1"/>
  <c r="J79" i="2"/>
  <c r="L79" i="2" s="1"/>
  <c r="S79" i="2" s="1"/>
  <c r="I78" i="1" s="1"/>
  <c r="J78" i="3"/>
  <c r="K78" i="3"/>
  <c r="M78" i="3" s="1"/>
  <c r="J77" i="1" s="1"/>
  <c r="J42" i="3"/>
  <c r="J55" i="3"/>
  <c r="K55" i="3"/>
  <c r="M55" i="3" s="1"/>
  <c r="J54" i="1" s="1"/>
  <c r="J56" i="3"/>
  <c r="K56" i="3" s="1"/>
  <c r="M56" i="3" s="1"/>
  <c r="J55" i="1" s="1"/>
  <c r="S9" i="2"/>
  <c r="I8" i="1" s="1"/>
  <c r="S10" i="2"/>
  <c r="I9" i="1" s="1"/>
  <c r="S30" i="2"/>
  <c r="I29" i="1" s="1"/>
  <c r="S31" i="2"/>
  <c r="I30" i="1" s="1"/>
  <c r="S32" i="2"/>
  <c r="I31" i="1" s="1"/>
  <c r="S33" i="2"/>
  <c r="I32" i="1" s="1"/>
  <c r="S34" i="2"/>
  <c r="I33" i="1" s="1"/>
  <c r="T33" i="1" s="1"/>
  <c r="S35" i="2"/>
  <c r="I34" i="1" s="1"/>
  <c r="S36" i="2"/>
  <c r="I35" i="1" s="1"/>
  <c r="S37" i="2"/>
  <c r="I36" i="1" s="1"/>
  <c r="S63" i="2"/>
  <c r="I62" i="1" s="1"/>
  <c r="S65" i="2"/>
  <c r="I64" i="1" s="1"/>
  <c r="S66" i="2"/>
  <c r="I65" i="1" s="1"/>
  <c r="S67" i="2"/>
  <c r="I66" i="1" s="1"/>
  <c r="S68" i="2"/>
  <c r="I67" i="1" s="1"/>
  <c r="S75" i="2"/>
  <c r="I74" i="1" s="1"/>
  <c r="S69" i="2"/>
  <c r="I68" i="1" s="1"/>
  <c r="S70" i="2"/>
  <c r="I69" i="1" s="1"/>
  <c r="S71" i="2"/>
  <c r="I70" i="1" s="1"/>
  <c r="AA19" i="1"/>
  <c r="AA29" i="1"/>
  <c r="AA30" i="1"/>
  <c r="AA31" i="1"/>
  <c r="AA34" i="1"/>
  <c r="AA40" i="1"/>
  <c r="AA54" i="1"/>
  <c r="AA55" i="1"/>
  <c r="AA59" i="1"/>
  <c r="AA63" i="1"/>
  <c r="AA74" i="1"/>
  <c r="S13" i="2"/>
  <c r="I12" i="1" s="1"/>
  <c r="S15" i="2"/>
  <c r="I14" i="1" s="1"/>
  <c r="S16" i="2"/>
  <c r="I15" i="1" s="1"/>
  <c r="S17" i="2"/>
  <c r="I16" i="1" s="1"/>
  <c r="T16" i="1" s="1"/>
  <c r="S18" i="2"/>
  <c r="I17" i="1" s="1"/>
  <c r="S19" i="2"/>
  <c r="I18" i="1" s="1"/>
  <c r="S20" i="2"/>
  <c r="I19" i="1" s="1"/>
  <c r="S23" i="2"/>
  <c r="I22" i="1" s="1"/>
  <c r="S24" i="2"/>
  <c r="I23" i="1" s="1"/>
  <c r="S25" i="2"/>
  <c r="I24" i="1" s="1"/>
  <c r="S26" i="2"/>
  <c r="I25" i="1" s="1"/>
  <c r="S27" i="2"/>
  <c r="I26" i="1" s="1"/>
  <c r="S28" i="2"/>
  <c r="I27" i="1" s="1"/>
  <c r="T28" i="1"/>
  <c r="S39" i="2"/>
  <c r="I38" i="1" s="1"/>
  <c r="S40" i="2"/>
  <c r="I39" i="1" s="1"/>
  <c r="S41" i="2"/>
  <c r="I40" i="1" s="1"/>
  <c r="S42" i="2"/>
  <c r="I41" i="1" s="1"/>
  <c r="AA10" i="1"/>
  <c r="AA11" i="1"/>
  <c r="AA16" i="1"/>
  <c r="E16" i="5" s="1"/>
  <c r="AA18" i="1"/>
  <c r="AA22" i="1"/>
  <c r="AA32" i="1"/>
  <c r="AA37" i="1"/>
  <c r="AA53" i="1"/>
  <c r="AA62" i="1"/>
  <c r="AA75" i="1"/>
  <c r="AA78" i="1"/>
  <c r="S44" i="2"/>
  <c r="I43" i="1" s="1"/>
  <c r="S45" i="2"/>
  <c r="I44" i="1" s="1"/>
  <c r="S46" i="2"/>
  <c r="I45" i="1" s="1"/>
  <c r="S47" i="2"/>
  <c r="I46" i="1" s="1"/>
  <c r="S48" i="2"/>
  <c r="I47" i="1" s="1"/>
  <c r="S49" i="2"/>
  <c r="I48" i="1" s="1"/>
  <c r="T48" i="1" s="1"/>
  <c r="S50" i="2"/>
  <c r="I49" i="1" s="1"/>
  <c r="S51" i="2"/>
  <c r="I50" i="1" s="1"/>
  <c r="S52" i="2"/>
  <c r="I51" i="1" s="1"/>
  <c r="S55" i="2"/>
  <c r="I54" i="1" s="1"/>
  <c r="S56" i="2"/>
  <c r="I55" i="1" s="1"/>
  <c r="S58" i="2"/>
  <c r="I57" i="1" s="1"/>
  <c r="S59" i="2"/>
  <c r="I58" i="1" s="1"/>
  <c r="S60" i="2"/>
  <c r="I59" i="1" s="1"/>
  <c r="S61" i="2"/>
  <c r="I60" i="1" s="1"/>
  <c r="AA42" i="1"/>
  <c r="AA73" i="1"/>
  <c r="AA76" i="1"/>
  <c r="AA79" i="1"/>
  <c r="E79" i="5" s="1"/>
  <c r="S73" i="2"/>
  <c r="I72" i="1" s="1"/>
  <c r="T72" i="1" s="1"/>
  <c r="AB72" i="1" s="1"/>
  <c r="S74" i="2"/>
  <c r="I73" i="1" s="1"/>
  <c r="S77" i="2"/>
  <c r="I76" i="1" s="1"/>
  <c r="S80" i="2"/>
  <c r="I79" i="1" s="1"/>
  <c r="T79" i="1" s="1"/>
  <c r="AB79" i="1" s="1"/>
  <c r="S76" i="2"/>
  <c r="I75" i="1" s="1"/>
  <c r="S78" i="2"/>
  <c r="I77" i="1" s="1"/>
  <c r="AA8" i="1"/>
  <c r="AA9" i="1"/>
  <c r="AA12" i="1"/>
  <c r="AA13" i="1"/>
  <c r="AA20" i="1"/>
  <c r="AA21" i="1"/>
  <c r="AA38" i="1"/>
  <c r="AA57" i="1"/>
  <c r="AA60" i="1"/>
  <c r="AA23" i="1"/>
  <c r="AA24" i="1"/>
  <c r="AA25" i="1"/>
  <c r="AA26" i="1"/>
  <c r="AA27" i="1"/>
  <c r="AA28" i="1"/>
  <c r="E28" i="5" s="1"/>
  <c r="AA33" i="1"/>
  <c r="E33" i="5" s="1"/>
  <c r="AA41" i="1"/>
  <c r="AA56" i="1"/>
  <c r="AA61" i="1"/>
  <c r="AA71" i="1"/>
  <c r="AA43" i="1"/>
  <c r="AA44" i="1"/>
  <c r="AA45" i="1"/>
  <c r="AA46" i="1"/>
  <c r="AA47" i="1"/>
  <c r="AA48" i="1"/>
  <c r="E48" i="5" s="1"/>
  <c r="AA49" i="1"/>
  <c r="AA50" i="1"/>
  <c r="AA51" i="1"/>
  <c r="AA70" i="1"/>
  <c r="AA64" i="1"/>
  <c r="AA65" i="1"/>
  <c r="AA66" i="1"/>
  <c r="AA67" i="1"/>
  <c r="AA68" i="1"/>
  <c r="AA77" i="1"/>
  <c r="AA39" i="1"/>
  <c r="AA58" i="1"/>
  <c r="AA14" i="1"/>
  <c r="AB52" i="1" l="1"/>
  <c r="AB42" i="1"/>
  <c r="AB11" i="1"/>
  <c r="AB21" i="1"/>
  <c r="AB16" i="1"/>
  <c r="AB13" i="1"/>
  <c r="AB20" i="1"/>
  <c r="AB53" i="1"/>
  <c r="AB63" i="1"/>
  <c r="AB33" i="1"/>
  <c r="AB48" i="1"/>
  <c r="E17" i="5"/>
  <c r="AM17" i="1"/>
  <c r="AN17" i="1" s="1"/>
  <c r="E52" i="5"/>
  <c r="G52" i="5" s="1"/>
  <c r="H52" i="5" s="1"/>
  <c r="I52" i="5" s="1"/>
  <c r="J52" i="5" s="1"/>
  <c r="AM52" i="1"/>
  <c r="AN52" i="1" s="1"/>
  <c r="P117" i="2"/>
  <c r="R8" i="2"/>
  <c r="R117" i="2" s="1"/>
  <c r="J117" i="2"/>
  <c r="L8" i="2"/>
  <c r="O8" i="2"/>
  <c r="O117" i="2" s="1"/>
  <c r="M117" i="2"/>
  <c r="AC11" i="1"/>
  <c r="AD11" i="1" s="1"/>
  <c r="AE11" i="1"/>
  <c r="AC13" i="1"/>
  <c r="AD13" i="1" s="1"/>
  <c r="AE13" i="1"/>
  <c r="AC20" i="1"/>
  <c r="AD20" i="1" s="1"/>
  <c r="AE20" i="1"/>
  <c r="AC21" i="1"/>
  <c r="AD21" i="1" s="1"/>
  <c r="AE21" i="1"/>
  <c r="AC37" i="1"/>
  <c r="AD37" i="1" s="1"/>
  <c r="AE37" i="1"/>
  <c r="AC42" i="1"/>
  <c r="AD42" i="1" s="1"/>
  <c r="AE42" i="1"/>
  <c r="AC52" i="1"/>
  <c r="AD52" i="1" s="1"/>
  <c r="AE52" i="1"/>
  <c r="AC53" i="1"/>
  <c r="AD53" i="1" s="1"/>
  <c r="AE53" i="1"/>
  <c r="AC63" i="1"/>
  <c r="AD63" i="1" s="1"/>
  <c r="AE63" i="1"/>
  <c r="X7" i="1"/>
  <c r="Q101" i="4"/>
  <c r="Q7" i="4"/>
  <c r="Y7" i="1"/>
  <c r="T101" i="4"/>
  <c r="T7" i="4"/>
  <c r="Z7" i="1"/>
  <c r="W101" i="4"/>
  <c r="W7" i="4"/>
  <c r="E69" i="5"/>
  <c r="AM69" i="1"/>
  <c r="AN69" i="1" s="1"/>
  <c r="J7" i="1"/>
  <c r="AO78" i="1"/>
  <c r="F78" i="5" s="1"/>
  <c r="T78" i="1"/>
  <c r="AB78" i="1" s="1"/>
  <c r="T8" i="1"/>
  <c r="AB8" i="1" s="1"/>
  <c r="AO8" i="1"/>
  <c r="T9" i="1"/>
  <c r="AB9" i="1" s="1"/>
  <c r="AO9" i="1"/>
  <c r="F9" i="5" s="1"/>
  <c r="T29" i="1"/>
  <c r="AB29" i="1" s="1"/>
  <c r="AO29" i="1"/>
  <c r="F29" i="5" s="1"/>
  <c r="T30" i="1"/>
  <c r="AB30" i="1" s="1"/>
  <c r="AO30" i="1"/>
  <c r="F30" i="5" s="1"/>
  <c r="T31" i="1"/>
  <c r="AB31" i="1" s="1"/>
  <c r="AO31" i="1"/>
  <c r="F31" i="5" s="1"/>
  <c r="T32" i="1"/>
  <c r="AB32" i="1" s="1"/>
  <c r="AO32" i="1"/>
  <c r="F32" i="5" s="1"/>
  <c r="AC33" i="1"/>
  <c r="AD33" i="1" s="1"/>
  <c r="AE33" i="1"/>
  <c r="AG33" i="1" s="1"/>
  <c r="T34" i="1"/>
  <c r="AB34" i="1" s="1"/>
  <c r="AO34" i="1"/>
  <c r="F34" i="5" s="1"/>
  <c r="T35" i="1"/>
  <c r="AB35" i="1" s="1"/>
  <c r="AO35" i="1"/>
  <c r="F35" i="5" s="1"/>
  <c r="T36" i="1"/>
  <c r="AB36" i="1" s="1"/>
  <c r="AO36" i="1"/>
  <c r="F36" i="5" s="1"/>
  <c r="T62" i="1"/>
  <c r="AB62" i="1" s="1"/>
  <c r="AO62" i="1"/>
  <c r="F62" i="5" s="1"/>
  <c r="T64" i="1"/>
  <c r="AB64" i="1" s="1"/>
  <c r="AO64" i="1"/>
  <c r="F64" i="5" s="1"/>
  <c r="T65" i="1"/>
  <c r="AB65" i="1" s="1"/>
  <c r="AO65" i="1"/>
  <c r="F65" i="5" s="1"/>
  <c r="T66" i="1"/>
  <c r="AB66" i="1" s="1"/>
  <c r="AO66" i="1"/>
  <c r="F66" i="5" s="1"/>
  <c r="AO67" i="1"/>
  <c r="F67" i="5" s="1"/>
  <c r="T67" i="1"/>
  <c r="AB67" i="1" s="1"/>
  <c r="AO74" i="1"/>
  <c r="F74" i="5" s="1"/>
  <c r="T74" i="1"/>
  <c r="AB74" i="1" s="1"/>
  <c r="T68" i="1"/>
  <c r="AB68" i="1" s="1"/>
  <c r="AO68" i="1"/>
  <c r="F68" i="5" s="1"/>
  <c r="T69" i="1"/>
  <c r="AB69" i="1" s="1"/>
  <c r="AO69" i="1"/>
  <c r="F69" i="5" s="1"/>
  <c r="D11" i="6"/>
  <c r="D22" i="6" s="1"/>
  <c r="T70" i="1"/>
  <c r="AB70" i="1" s="1"/>
  <c r="AO70" i="1"/>
  <c r="F70" i="5" s="1"/>
  <c r="AM19" i="1"/>
  <c r="AN19" i="1" s="1"/>
  <c r="E19" i="5"/>
  <c r="AM29" i="1"/>
  <c r="AN29" i="1" s="1"/>
  <c r="E29" i="5"/>
  <c r="AM30" i="1"/>
  <c r="AN30" i="1" s="1"/>
  <c r="E30" i="5"/>
  <c r="AM31" i="1"/>
  <c r="AN31" i="1" s="1"/>
  <c r="E31" i="5"/>
  <c r="AM34" i="1"/>
  <c r="AN34" i="1" s="1"/>
  <c r="E34" i="5"/>
  <c r="AM40" i="1"/>
  <c r="AN40" i="1" s="1"/>
  <c r="E40" i="5"/>
  <c r="AM54" i="1"/>
  <c r="AN54" i="1" s="1"/>
  <c r="E54" i="5"/>
  <c r="AM55" i="1"/>
  <c r="AN55" i="1" s="1"/>
  <c r="E55" i="5"/>
  <c r="AM59" i="1"/>
  <c r="AN59" i="1" s="1"/>
  <c r="E59" i="5"/>
  <c r="AM63" i="1"/>
  <c r="AN63" i="1" s="1"/>
  <c r="E63" i="5"/>
  <c r="AM74" i="1"/>
  <c r="AN74" i="1" s="1"/>
  <c r="E74" i="5"/>
  <c r="T12" i="1"/>
  <c r="AB12" i="1" s="1"/>
  <c r="AO12" i="1"/>
  <c r="F12" i="5" s="1"/>
  <c r="T14" i="1"/>
  <c r="AB14" i="1" s="1"/>
  <c r="AO14" i="1"/>
  <c r="F14" i="5" s="1"/>
  <c r="T15" i="1"/>
  <c r="AB15" i="1" s="1"/>
  <c r="AO15" i="1"/>
  <c r="F15" i="5" s="1"/>
  <c r="G15" i="5" s="1"/>
  <c r="H15" i="5" s="1"/>
  <c r="I15" i="5" s="1"/>
  <c r="J15" i="5" s="1"/>
  <c r="AC16" i="1"/>
  <c r="AD16" i="1" s="1"/>
  <c r="AE16" i="1"/>
  <c r="AG16" i="1" s="1"/>
  <c r="T17" i="1"/>
  <c r="AB17" i="1" s="1"/>
  <c r="AO17" i="1"/>
  <c r="F17" i="5" s="1"/>
  <c r="T18" i="1"/>
  <c r="AB18" i="1" s="1"/>
  <c r="AO18" i="1"/>
  <c r="F18" i="5" s="1"/>
  <c r="T19" i="1"/>
  <c r="AB19" i="1" s="1"/>
  <c r="AO19" i="1"/>
  <c r="F19" i="5" s="1"/>
  <c r="T22" i="1"/>
  <c r="AB22" i="1" s="1"/>
  <c r="AO22" i="1"/>
  <c r="F22" i="5" s="1"/>
  <c r="T23" i="1"/>
  <c r="AB23" i="1" s="1"/>
  <c r="AO23" i="1"/>
  <c r="F23" i="5" s="1"/>
  <c r="T24" i="1"/>
  <c r="AB24" i="1" s="1"/>
  <c r="AO24" i="1"/>
  <c r="F24" i="5" s="1"/>
  <c r="T25" i="1"/>
  <c r="AB25" i="1" s="1"/>
  <c r="AO25" i="1"/>
  <c r="F25" i="5" s="1"/>
  <c r="T26" i="1"/>
  <c r="AB26" i="1" s="1"/>
  <c r="AO26" i="1"/>
  <c r="F26" i="5" s="1"/>
  <c r="T27" i="1"/>
  <c r="AB27" i="1" s="1"/>
  <c r="AO27" i="1"/>
  <c r="F27" i="5" s="1"/>
  <c r="T38" i="1"/>
  <c r="AB38" i="1" s="1"/>
  <c r="AO38" i="1"/>
  <c r="F38" i="5" s="1"/>
  <c r="T39" i="1"/>
  <c r="AB39" i="1" s="1"/>
  <c r="AO39" i="1"/>
  <c r="F39" i="5" s="1"/>
  <c r="T40" i="1"/>
  <c r="AB40" i="1" s="1"/>
  <c r="AO40" i="1"/>
  <c r="F40" i="5" s="1"/>
  <c r="AM10" i="1"/>
  <c r="AN10" i="1" s="1"/>
  <c r="E10" i="5"/>
  <c r="AM11" i="1"/>
  <c r="AN11" i="1" s="1"/>
  <c r="E11" i="5"/>
  <c r="G16" i="5"/>
  <c r="H16" i="5"/>
  <c r="I16" i="5" s="1"/>
  <c r="J16" i="5"/>
  <c r="AM18" i="1"/>
  <c r="AN18" i="1" s="1"/>
  <c r="E18" i="5"/>
  <c r="AM22" i="1"/>
  <c r="AN22" i="1" s="1"/>
  <c r="E22" i="5"/>
  <c r="AM32" i="1"/>
  <c r="AN32" i="1" s="1"/>
  <c r="E32" i="5"/>
  <c r="AM37" i="1"/>
  <c r="AN37" i="1" s="1"/>
  <c r="E37" i="5"/>
  <c r="AM53" i="1"/>
  <c r="AN53" i="1" s="1"/>
  <c r="E53" i="5"/>
  <c r="AM62" i="1"/>
  <c r="AN62" i="1" s="1"/>
  <c r="E62" i="5"/>
  <c r="AM75" i="1"/>
  <c r="AN75" i="1" s="1"/>
  <c r="E75" i="5"/>
  <c r="AM78" i="1"/>
  <c r="AN78" i="1" s="1"/>
  <c r="E78" i="5"/>
  <c r="T43" i="1"/>
  <c r="AB43" i="1" s="1"/>
  <c r="AO43" i="1"/>
  <c r="F43" i="5" s="1"/>
  <c r="T44" i="1"/>
  <c r="AB44" i="1" s="1"/>
  <c r="AO44" i="1"/>
  <c r="F44" i="5" s="1"/>
  <c r="T45" i="1"/>
  <c r="AB45" i="1" s="1"/>
  <c r="AO45" i="1"/>
  <c r="F45" i="5" s="1"/>
  <c r="T46" i="1"/>
  <c r="AB46" i="1" s="1"/>
  <c r="AO46" i="1"/>
  <c r="F46" i="5" s="1"/>
  <c r="T47" i="1"/>
  <c r="AB47" i="1" s="1"/>
  <c r="AO47" i="1"/>
  <c r="F47" i="5" s="1"/>
  <c r="AC48" i="1"/>
  <c r="AD48" i="1" s="1"/>
  <c r="AE48" i="1"/>
  <c r="AG48" i="1" s="1"/>
  <c r="T49" i="1"/>
  <c r="AB49" i="1" s="1"/>
  <c r="AO49" i="1"/>
  <c r="F49" i="5" s="1"/>
  <c r="T50" i="1"/>
  <c r="AB50" i="1" s="1"/>
  <c r="AO50" i="1"/>
  <c r="F50" i="5" s="1"/>
  <c r="T51" i="1"/>
  <c r="AB51" i="1" s="1"/>
  <c r="AO51" i="1"/>
  <c r="F51" i="5" s="1"/>
  <c r="T54" i="1"/>
  <c r="AB54" i="1" s="1"/>
  <c r="AO54" i="1"/>
  <c r="F54" i="5" s="1"/>
  <c r="T55" i="1"/>
  <c r="AB55" i="1" s="1"/>
  <c r="AO55" i="1"/>
  <c r="F55" i="5" s="1"/>
  <c r="T57" i="1"/>
  <c r="AB57" i="1" s="1"/>
  <c r="AO57" i="1"/>
  <c r="F57" i="5" s="1"/>
  <c r="T58" i="1"/>
  <c r="AB58" i="1" s="1"/>
  <c r="AO58" i="1"/>
  <c r="F58" i="5" s="1"/>
  <c r="T59" i="1"/>
  <c r="AB59" i="1" s="1"/>
  <c r="AO59" i="1"/>
  <c r="F59" i="5" s="1"/>
  <c r="T60" i="1"/>
  <c r="AB60" i="1" s="1"/>
  <c r="AO60" i="1"/>
  <c r="F60" i="5" s="1"/>
  <c r="AM42" i="1"/>
  <c r="AN42" i="1" s="1"/>
  <c r="E42" i="5"/>
  <c r="AM73" i="1"/>
  <c r="AN73" i="1" s="1"/>
  <c r="E73" i="5"/>
  <c r="AM76" i="1"/>
  <c r="AN76" i="1" s="1"/>
  <c r="E76" i="5"/>
  <c r="G79" i="5"/>
  <c r="H79" i="5"/>
  <c r="I79" i="5" s="1"/>
  <c r="J79" i="5"/>
  <c r="AC72" i="1"/>
  <c r="AD72" i="1" s="1"/>
  <c r="AE72" i="1"/>
  <c r="AG72" i="1" s="1"/>
  <c r="T73" i="1"/>
  <c r="AB73" i="1" s="1"/>
  <c r="AO73" i="1"/>
  <c r="F73" i="5" s="1"/>
  <c r="T76" i="1"/>
  <c r="AB76" i="1" s="1"/>
  <c r="AO76" i="1"/>
  <c r="F76" i="5" s="1"/>
  <c r="AC79" i="1"/>
  <c r="AD79" i="1" s="1"/>
  <c r="AE79" i="1" s="1"/>
  <c r="T75" i="1"/>
  <c r="AB75" i="1" s="1"/>
  <c r="AO75" i="1"/>
  <c r="F75" i="5" s="1"/>
  <c r="T77" i="1"/>
  <c r="AB77" i="1" s="1"/>
  <c r="AO77" i="1"/>
  <c r="F77" i="5" s="1"/>
  <c r="AM8" i="1"/>
  <c r="E112" i="5"/>
  <c r="AM9" i="1"/>
  <c r="AN9" i="1" s="1"/>
  <c r="E9" i="5"/>
  <c r="AM12" i="1"/>
  <c r="AN12" i="1" s="1"/>
  <c r="E12" i="5"/>
  <c r="AM13" i="1"/>
  <c r="AN13" i="1" s="1"/>
  <c r="E13" i="5"/>
  <c r="AM20" i="1"/>
  <c r="AN20" i="1" s="1"/>
  <c r="E20" i="5"/>
  <c r="AM21" i="1"/>
  <c r="AN21" i="1" s="1"/>
  <c r="E21" i="5"/>
  <c r="AM38" i="1"/>
  <c r="AN38" i="1" s="1"/>
  <c r="E38" i="5"/>
  <c r="AM57" i="1"/>
  <c r="AN57" i="1" s="1"/>
  <c r="E57" i="5"/>
  <c r="AM60" i="1"/>
  <c r="AN60" i="1" s="1"/>
  <c r="E60" i="5"/>
  <c r="AM23" i="1"/>
  <c r="AN23" i="1" s="1"/>
  <c r="E23" i="5"/>
  <c r="AM24" i="1"/>
  <c r="AN24" i="1" s="1"/>
  <c r="E24" i="5"/>
  <c r="AM25" i="1"/>
  <c r="AN25" i="1" s="1"/>
  <c r="E25" i="5"/>
  <c r="AM26" i="1"/>
  <c r="AN26" i="1" s="1"/>
  <c r="E26" i="5"/>
  <c r="AM27" i="1"/>
  <c r="AN27" i="1" s="1"/>
  <c r="E27" i="5"/>
  <c r="G28" i="5"/>
  <c r="H28" i="5" s="1"/>
  <c r="I28" i="5" s="1"/>
  <c r="J28" i="5" s="1"/>
  <c r="G33" i="5"/>
  <c r="H33" i="5" s="1"/>
  <c r="I33" i="5" s="1"/>
  <c r="J33" i="5" s="1"/>
  <c r="AM41" i="1"/>
  <c r="AN41" i="1" s="1"/>
  <c r="E41" i="5"/>
  <c r="AM56" i="1"/>
  <c r="AN56" i="1" s="1"/>
  <c r="E56" i="5"/>
  <c r="AM61" i="1"/>
  <c r="AN61" i="1" s="1"/>
  <c r="E61" i="5"/>
  <c r="AM71" i="1"/>
  <c r="AN71" i="1" s="1"/>
  <c r="E71" i="5"/>
  <c r="AM43" i="1"/>
  <c r="AN43" i="1" s="1"/>
  <c r="E43" i="5"/>
  <c r="AM44" i="1"/>
  <c r="AN44" i="1" s="1"/>
  <c r="E44" i="5"/>
  <c r="AM45" i="1"/>
  <c r="AN45" i="1" s="1"/>
  <c r="E45" i="5"/>
  <c r="AM46" i="1"/>
  <c r="AN46" i="1" s="1"/>
  <c r="E46" i="5"/>
  <c r="AM47" i="1"/>
  <c r="AN47" i="1" s="1"/>
  <c r="E47" i="5"/>
  <c r="G48" i="5"/>
  <c r="H48" i="5"/>
  <c r="I48" i="5" s="1"/>
  <c r="J48" i="5"/>
  <c r="AM49" i="1"/>
  <c r="AN49" i="1" s="1"/>
  <c r="E49" i="5"/>
  <c r="AM50" i="1"/>
  <c r="AN50" i="1" s="1"/>
  <c r="E50" i="5"/>
  <c r="AM51" i="1"/>
  <c r="AN51" i="1" s="1"/>
  <c r="E51" i="5"/>
  <c r="AM70" i="1"/>
  <c r="AN70" i="1" s="1"/>
  <c r="E70" i="5"/>
  <c r="AM64" i="1"/>
  <c r="AN64" i="1" s="1"/>
  <c r="E64" i="5"/>
  <c r="AM65" i="1"/>
  <c r="AN65" i="1" s="1"/>
  <c r="E65" i="5"/>
  <c r="AM66" i="1"/>
  <c r="AN66" i="1" s="1"/>
  <c r="E66" i="5"/>
  <c r="AM67" i="1"/>
  <c r="AN67" i="1" s="1"/>
  <c r="E67" i="5"/>
  <c r="AM68" i="1"/>
  <c r="AN68" i="1" s="1"/>
  <c r="E68" i="5"/>
  <c r="AM77" i="1"/>
  <c r="AN77" i="1" s="1"/>
  <c r="E77" i="5"/>
  <c r="AM39" i="1"/>
  <c r="AN39" i="1" s="1"/>
  <c r="E39" i="5"/>
  <c r="AM58" i="1"/>
  <c r="AN58" i="1" s="1"/>
  <c r="E58" i="5"/>
  <c r="AM14" i="1"/>
  <c r="AN14" i="1" s="1"/>
  <c r="E14" i="5"/>
  <c r="AB10" i="1"/>
  <c r="AB56" i="1"/>
  <c r="AB61" i="1"/>
  <c r="AB71" i="1"/>
  <c r="AB28" i="1"/>
  <c r="J101" i="3"/>
  <c r="J7" i="3"/>
  <c r="K42" i="3"/>
  <c r="G17" i="5" l="1"/>
  <c r="H17" i="5" s="1"/>
  <c r="I17" i="5" s="1"/>
  <c r="J17" i="5" s="1"/>
  <c r="S8" i="2"/>
  <c r="L117" i="2"/>
  <c r="AG11" i="1"/>
  <c r="AI11" i="1"/>
  <c r="AP11" i="1"/>
  <c r="AG13" i="1"/>
  <c r="AI13" i="1"/>
  <c r="AP13" i="1"/>
  <c r="AG20" i="1"/>
  <c r="AI20" i="1"/>
  <c r="AP20" i="1"/>
  <c r="AG21" i="1"/>
  <c r="AI21" i="1"/>
  <c r="AP21" i="1"/>
  <c r="AG37" i="1"/>
  <c r="AP37" i="1"/>
  <c r="AG42" i="1"/>
  <c r="AI42" i="1"/>
  <c r="AP42" i="1"/>
  <c r="AG52" i="1"/>
  <c r="AI52" i="1"/>
  <c r="AP52" i="1"/>
  <c r="AG53" i="1"/>
  <c r="AI53" i="1"/>
  <c r="AP53" i="1"/>
  <c r="AG63" i="1"/>
  <c r="AI63" i="1"/>
  <c r="AP63" i="1"/>
  <c r="AA7" i="1"/>
  <c r="X99" i="1"/>
  <c r="Y99" i="1"/>
  <c r="Z99" i="1"/>
  <c r="G69" i="5"/>
  <c r="H69" i="5" s="1"/>
  <c r="I69" i="5" s="1"/>
  <c r="J69" i="5" s="1"/>
  <c r="AC78" i="1"/>
  <c r="AD78" i="1" s="1"/>
  <c r="AE78" i="1" s="1"/>
  <c r="AC8" i="1"/>
  <c r="AD8" i="1" s="1"/>
  <c r="AE8" i="1" s="1"/>
  <c r="AC9" i="1"/>
  <c r="AD9" i="1" s="1"/>
  <c r="AE9" i="1" s="1"/>
  <c r="AC29" i="1"/>
  <c r="AD29" i="1" s="1"/>
  <c r="AE29" i="1" s="1"/>
  <c r="AC30" i="1"/>
  <c r="AD30" i="1" s="1"/>
  <c r="AE30" i="1" s="1"/>
  <c r="AC31" i="1"/>
  <c r="AD31" i="1" s="1"/>
  <c r="AE31" i="1" s="1"/>
  <c r="AC32" i="1"/>
  <c r="AD32" i="1" s="1"/>
  <c r="AE32" i="1"/>
  <c r="AC34" i="1"/>
  <c r="AD34" i="1" s="1"/>
  <c r="AE34" i="1" s="1"/>
  <c r="AC35" i="1"/>
  <c r="AD35" i="1" s="1"/>
  <c r="AE35" i="1"/>
  <c r="AC36" i="1"/>
  <c r="AD36" i="1" s="1"/>
  <c r="AE36" i="1" s="1"/>
  <c r="AC62" i="1"/>
  <c r="AD62" i="1" s="1"/>
  <c r="AE62" i="1" s="1"/>
  <c r="AC64" i="1"/>
  <c r="AD64" i="1" s="1"/>
  <c r="AE64" i="1" s="1"/>
  <c r="AC65" i="1"/>
  <c r="AD65" i="1" s="1"/>
  <c r="AE65" i="1"/>
  <c r="AC66" i="1"/>
  <c r="AD66" i="1" s="1"/>
  <c r="AE66" i="1" s="1"/>
  <c r="AC67" i="1"/>
  <c r="AD67" i="1" s="1"/>
  <c r="AE67" i="1" s="1"/>
  <c r="AC74" i="1"/>
  <c r="AD74" i="1" s="1"/>
  <c r="AE74" i="1" s="1"/>
  <c r="AC68" i="1"/>
  <c r="AD68" i="1" s="1"/>
  <c r="AE68" i="1" s="1"/>
  <c r="AC69" i="1"/>
  <c r="AD69" i="1" s="1"/>
  <c r="D30" i="6" s="1"/>
  <c r="D31" i="6" s="1"/>
  <c r="D32" i="6" s="1"/>
  <c r="AE69" i="1"/>
  <c r="F31" i="6"/>
  <c r="AC70" i="1"/>
  <c r="AD70" i="1" s="1"/>
  <c r="AE70" i="1" s="1"/>
  <c r="G19" i="5"/>
  <c r="H19" i="5" s="1"/>
  <c r="I19" i="5" s="1"/>
  <c r="J19" i="5" s="1"/>
  <c r="G29" i="5"/>
  <c r="H29" i="5" s="1"/>
  <c r="I29" i="5" s="1"/>
  <c r="J29" i="5" s="1"/>
  <c r="G30" i="5"/>
  <c r="H30" i="5" s="1"/>
  <c r="I30" i="5" s="1"/>
  <c r="J30" i="5" s="1"/>
  <c r="G31" i="5"/>
  <c r="H31" i="5" s="1"/>
  <c r="I31" i="5" s="1"/>
  <c r="J31" i="5" s="1"/>
  <c r="G34" i="5"/>
  <c r="H34" i="5" s="1"/>
  <c r="I34" i="5" s="1"/>
  <c r="J34" i="5" s="1"/>
  <c r="G40" i="5"/>
  <c r="H40" i="5" s="1"/>
  <c r="I40" i="5" s="1"/>
  <c r="J40" i="5" s="1"/>
  <c r="G54" i="5"/>
  <c r="H54" i="5" s="1"/>
  <c r="I54" i="5" s="1"/>
  <c r="J54" i="5" s="1"/>
  <c r="G55" i="5"/>
  <c r="H55" i="5" s="1"/>
  <c r="I55" i="5" s="1"/>
  <c r="J55" i="5" s="1"/>
  <c r="G59" i="5"/>
  <c r="H59" i="5" s="1"/>
  <c r="I59" i="5" s="1"/>
  <c r="J59" i="5" s="1"/>
  <c r="G63" i="5"/>
  <c r="H63" i="5" s="1"/>
  <c r="I63" i="5" s="1"/>
  <c r="J63" i="5" s="1"/>
  <c r="G74" i="5"/>
  <c r="H74" i="5" s="1"/>
  <c r="I74" i="5" s="1"/>
  <c r="J74" i="5" s="1"/>
  <c r="AC12" i="1"/>
  <c r="AD12" i="1" s="1"/>
  <c r="AE12" i="1"/>
  <c r="AC14" i="1"/>
  <c r="AD14" i="1" s="1"/>
  <c r="AE14" i="1" s="1"/>
  <c r="AC15" i="1"/>
  <c r="AD15" i="1" s="1"/>
  <c r="AE15" i="1" s="1"/>
  <c r="AC17" i="1"/>
  <c r="AD17" i="1" s="1"/>
  <c r="AE17" i="1" s="1"/>
  <c r="AC18" i="1"/>
  <c r="AD18" i="1" s="1"/>
  <c r="AE18" i="1"/>
  <c r="AC19" i="1"/>
  <c r="AD19" i="1" s="1"/>
  <c r="AE19" i="1" s="1"/>
  <c r="AC22" i="1"/>
  <c r="AD22" i="1" s="1"/>
  <c r="AE22" i="1" s="1"/>
  <c r="AC23" i="1"/>
  <c r="AD23" i="1" s="1"/>
  <c r="AE23" i="1" s="1"/>
  <c r="AC24" i="1"/>
  <c r="AD24" i="1" s="1"/>
  <c r="AE24" i="1" s="1"/>
  <c r="AC25" i="1"/>
  <c r="AD25" i="1" s="1"/>
  <c r="AE25" i="1" s="1"/>
  <c r="AC26" i="1"/>
  <c r="AD26" i="1" s="1"/>
  <c r="AE26" i="1"/>
  <c r="AC27" i="1"/>
  <c r="AD27" i="1" s="1"/>
  <c r="AE27" i="1"/>
  <c r="AC38" i="1"/>
  <c r="AD38" i="1" s="1"/>
  <c r="AE38" i="1"/>
  <c r="AC39" i="1"/>
  <c r="AD39" i="1" s="1"/>
  <c r="AE39" i="1"/>
  <c r="AC40" i="1"/>
  <c r="AD40" i="1" s="1"/>
  <c r="AE40" i="1"/>
  <c r="G10" i="5"/>
  <c r="H10" i="5" s="1"/>
  <c r="I10" i="5" s="1"/>
  <c r="J10" i="5" s="1"/>
  <c r="G11" i="5"/>
  <c r="H11" i="5" s="1"/>
  <c r="I11" i="5" s="1"/>
  <c r="J11" i="5" s="1"/>
  <c r="G18" i="5"/>
  <c r="H18" i="5" s="1"/>
  <c r="I18" i="5" s="1"/>
  <c r="J18" i="5" s="1"/>
  <c r="G22" i="5"/>
  <c r="H22" i="5" s="1"/>
  <c r="I22" i="5" s="1"/>
  <c r="J22" i="5" s="1"/>
  <c r="G32" i="5"/>
  <c r="H32" i="5" s="1"/>
  <c r="I32" i="5" s="1"/>
  <c r="J32" i="5" s="1"/>
  <c r="G37" i="5"/>
  <c r="H37" i="5" s="1"/>
  <c r="I37" i="5" s="1"/>
  <c r="J37" i="5" s="1"/>
  <c r="G53" i="5"/>
  <c r="H53" i="5" s="1"/>
  <c r="I53" i="5" s="1"/>
  <c r="J53" i="5" s="1"/>
  <c r="G62" i="5"/>
  <c r="H62" i="5" s="1"/>
  <c r="I62" i="5" s="1"/>
  <c r="J62" i="5" s="1"/>
  <c r="G75" i="5"/>
  <c r="H75" i="5" s="1"/>
  <c r="I75" i="5" s="1"/>
  <c r="J75" i="5" s="1"/>
  <c r="G78" i="5"/>
  <c r="H78" i="5" s="1"/>
  <c r="I78" i="5" s="1"/>
  <c r="J78" i="5" s="1"/>
  <c r="AC43" i="1"/>
  <c r="AD43" i="1" s="1"/>
  <c r="AE43" i="1" s="1"/>
  <c r="AC44" i="1"/>
  <c r="AD44" i="1" s="1"/>
  <c r="AE44" i="1" s="1"/>
  <c r="AC45" i="1"/>
  <c r="AD45" i="1" s="1"/>
  <c r="AE45" i="1"/>
  <c r="AC46" i="1"/>
  <c r="AD46" i="1" s="1"/>
  <c r="AE46" i="1"/>
  <c r="AC47" i="1"/>
  <c r="AD47" i="1" s="1"/>
  <c r="AE47" i="1" s="1"/>
  <c r="AC49" i="1"/>
  <c r="AD49" i="1" s="1"/>
  <c r="AE49" i="1"/>
  <c r="AC50" i="1"/>
  <c r="AD50" i="1" s="1"/>
  <c r="AE50" i="1" s="1"/>
  <c r="AC51" i="1"/>
  <c r="AD51" i="1" s="1"/>
  <c r="AE51" i="1"/>
  <c r="AC54" i="1"/>
  <c r="AD54" i="1" s="1"/>
  <c r="AE54" i="1" s="1"/>
  <c r="AC55" i="1"/>
  <c r="AD55" i="1" s="1"/>
  <c r="AE55" i="1"/>
  <c r="AC57" i="1"/>
  <c r="AD57" i="1" s="1"/>
  <c r="AE57" i="1"/>
  <c r="AC58" i="1"/>
  <c r="AD58" i="1" s="1"/>
  <c r="AE58" i="1" s="1"/>
  <c r="AC59" i="1"/>
  <c r="AD59" i="1" s="1"/>
  <c r="AE59" i="1"/>
  <c r="AC60" i="1"/>
  <c r="AD60" i="1" s="1"/>
  <c r="AE60" i="1" s="1"/>
  <c r="G42" i="5"/>
  <c r="H42" i="5" s="1"/>
  <c r="I42" i="5" s="1"/>
  <c r="J42" i="5" s="1"/>
  <c r="G73" i="5"/>
  <c r="H73" i="5" s="1"/>
  <c r="I73" i="5" s="1"/>
  <c r="J73" i="5" s="1"/>
  <c r="G76" i="5"/>
  <c r="H76" i="5" s="1"/>
  <c r="I76" i="5" s="1"/>
  <c r="J76" i="5" s="1"/>
  <c r="AC73" i="1"/>
  <c r="AD73" i="1" s="1"/>
  <c r="AE73" i="1" s="1"/>
  <c r="AC76" i="1"/>
  <c r="AD76" i="1" s="1"/>
  <c r="AE76" i="1" s="1"/>
  <c r="AI79" i="1"/>
  <c r="AG79" i="1"/>
  <c r="AC75" i="1"/>
  <c r="AD75" i="1" s="1"/>
  <c r="AE75" i="1" s="1"/>
  <c r="AC77" i="1"/>
  <c r="AD77" i="1" s="1"/>
  <c r="AE77" i="1" s="1"/>
  <c r="F112" i="5"/>
  <c r="AN8" i="1"/>
  <c r="E8" i="5"/>
  <c r="G9" i="5"/>
  <c r="H9" i="5" s="1"/>
  <c r="G12" i="5"/>
  <c r="H12" i="5" s="1"/>
  <c r="I12" i="5" s="1"/>
  <c r="J12" i="5" s="1"/>
  <c r="G13" i="5"/>
  <c r="H13" i="5" s="1"/>
  <c r="I13" i="5" s="1"/>
  <c r="J13" i="5" s="1"/>
  <c r="G20" i="5"/>
  <c r="H20" i="5" s="1"/>
  <c r="I20" i="5" s="1"/>
  <c r="J20" i="5" s="1"/>
  <c r="G21" i="5"/>
  <c r="H21" i="5" s="1"/>
  <c r="I21" i="5" s="1"/>
  <c r="J21" i="5" s="1"/>
  <c r="G38" i="5"/>
  <c r="H38" i="5" s="1"/>
  <c r="I38" i="5" s="1"/>
  <c r="J38" i="5" s="1"/>
  <c r="G57" i="5"/>
  <c r="H57" i="5" s="1"/>
  <c r="I57" i="5" s="1"/>
  <c r="J57" i="5" s="1"/>
  <c r="G60" i="5"/>
  <c r="H60" i="5" s="1"/>
  <c r="I60" i="5" s="1"/>
  <c r="J60" i="5" s="1"/>
  <c r="G23" i="5"/>
  <c r="H23" i="5" s="1"/>
  <c r="I23" i="5" s="1"/>
  <c r="J23" i="5" s="1"/>
  <c r="G24" i="5"/>
  <c r="H24" i="5" s="1"/>
  <c r="I24" i="5" s="1"/>
  <c r="J24" i="5" s="1"/>
  <c r="G25" i="5"/>
  <c r="H25" i="5" s="1"/>
  <c r="I25" i="5" s="1"/>
  <c r="J25" i="5" s="1"/>
  <c r="G26" i="5"/>
  <c r="H26" i="5" s="1"/>
  <c r="I26" i="5" s="1"/>
  <c r="J26" i="5" s="1"/>
  <c r="G27" i="5"/>
  <c r="H27" i="5" s="1"/>
  <c r="I27" i="5" s="1"/>
  <c r="J27" i="5" s="1"/>
  <c r="G56" i="5"/>
  <c r="H56" i="5" s="1"/>
  <c r="I56" i="5" s="1"/>
  <c r="J56" i="5" s="1"/>
  <c r="G61" i="5"/>
  <c r="H61" i="5" s="1"/>
  <c r="I61" i="5" s="1"/>
  <c r="J61" i="5" s="1"/>
  <c r="G71" i="5"/>
  <c r="H71" i="5" s="1"/>
  <c r="I71" i="5" s="1"/>
  <c r="J71" i="5" s="1"/>
  <c r="G43" i="5"/>
  <c r="H43" i="5" s="1"/>
  <c r="I43" i="5" s="1"/>
  <c r="J43" i="5" s="1"/>
  <c r="G44" i="5"/>
  <c r="H44" i="5" s="1"/>
  <c r="I44" i="5" s="1"/>
  <c r="J44" i="5" s="1"/>
  <c r="G45" i="5"/>
  <c r="H45" i="5" s="1"/>
  <c r="I45" i="5" s="1"/>
  <c r="J45" i="5" s="1"/>
  <c r="G46" i="5"/>
  <c r="H46" i="5" s="1"/>
  <c r="I46" i="5" s="1"/>
  <c r="J46" i="5" s="1"/>
  <c r="G47" i="5"/>
  <c r="H47" i="5" s="1"/>
  <c r="I47" i="5" s="1"/>
  <c r="J47" i="5" s="1"/>
  <c r="G49" i="5"/>
  <c r="H49" i="5" s="1"/>
  <c r="I49" i="5" s="1"/>
  <c r="J49" i="5" s="1"/>
  <c r="G50" i="5"/>
  <c r="H50" i="5" s="1"/>
  <c r="I50" i="5" s="1"/>
  <c r="J50" i="5" s="1"/>
  <c r="G51" i="5"/>
  <c r="H51" i="5" s="1"/>
  <c r="I51" i="5" s="1"/>
  <c r="J51" i="5" s="1"/>
  <c r="G70" i="5"/>
  <c r="H70" i="5" s="1"/>
  <c r="I70" i="5" s="1"/>
  <c r="J70" i="5" s="1"/>
  <c r="G64" i="5"/>
  <c r="H64" i="5" s="1"/>
  <c r="I64" i="5" s="1"/>
  <c r="J64" i="5" s="1"/>
  <c r="G65" i="5"/>
  <c r="H65" i="5" s="1"/>
  <c r="I65" i="5" s="1"/>
  <c r="J65" i="5" s="1"/>
  <c r="G66" i="5"/>
  <c r="H66" i="5" s="1"/>
  <c r="I66" i="5" s="1"/>
  <c r="J66" i="5" s="1"/>
  <c r="G67" i="5"/>
  <c r="H67" i="5" s="1"/>
  <c r="I67" i="5" s="1"/>
  <c r="J67" i="5" s="1"/>
  <c r="G68" i="5"/>
  <c r="H68" i="5" s="1"/>
  <c r="I68" i="5" s="1"/>
  <c r="J68" i="5" s="1"/>
  <c r="G77" i="5"/>
  <c r="H77" i="5" s="1"/>
  <c r="I77" i="5" s="1"/>
  <c r="J77" i="5" s="1"/>
  <c r="G39" i="5"/>
  <c r="H39" i="5" s="1"/>
  <c r="I39" i="5" s="1"/>
  <c r="J39" i="5" s="1"/>
  <c r="G58" i="5"/>
  <c r="H58" i="5" s="1"/>
  <c r="I58" i="5" s="1"/>
  <c r="J58" i="5" s="1"/>
  <c r="G14" i="5"/>
  <c r="H14" i="5" s="1"/>
  <c r="I14" i="5" s="1"/>
  <c r="J14" i="5" s="1"/>
  <c r="AC10" i="1"/>
  <c r="AD10" i="1" s="1"/>
  <c r="AE10" i="1"/>
  <c r="AC56" i="1"/>
  <c r="AD56" i="1" s="1"/>
  <c r="AE56" i="1" s="1"/>
  <c r="AC61" i="1"/>
  <c r="AD61" i="1" s="1"/>
  <c r="AE61" i="1" s="1"/>
  <c r="AC71" i="1"/>
  <c r="AD71" i="1" s="1"/>
  <c r="AE71" i="1" s="1"/>
  <c r="AC28" i="1"/>
  <c r="AD28" i="1" s="1"/>
  <c r="AE28" i="1" s="1"/>
  <c r="AG28" i="1" s="1"/>
  <c r="K7" i="3"/>
  <c r="K101" i="3"/>
  <c r="M42" i="3"/>
  <c r="G35" i="5"/>
  <c r="H35" i="5" s="1"/>
  <c r="I35" i="5" s="1"/>
  <c r="J35" i="5" s="1"/>
  <c r="G36" i="5"/>
  <c r="H36" i="5" s="1"/>
  <c r="I36" i="5" s="1"/>
  <c r="J36" i="5" s="1"/>
  <c r="I7" i="1" l="1"/>
  <c r="S117" i="2"/>
  <c r="AA99" i="1"/>
  <c r="AM7" i="1"/>
  <c r="E111" i="5"/>
  <c r="AI78" i="1"/>
  <c r="AE108" i="1"/>
  <c r="AG78" i="1"/>
  <c r="AP78" i="1"/>
  <c r="AG8" i="1"/>
  <c r="AF143" i="1" s="1"/>
  <c r="AI8" i="1"/>
  <c r="AP8" i="1"/>
  <c r="AE102" i="1"/>
  <c r="AG9" i="1"/>
  <c r="AF141" i="1" s="1"/>
  <c r="AI9" i="1"/>
  <c r="AP9" i="1"/>
  <c r="AE103" i="1"/>
  <c r="AG29" i="1"/>
  <c r="AI29" i="1"/>
  <c r="AP29" i="1"/>
  <c r="AG30" i="1"/>
  <c r="AI30" i="1"/>
  <c r="AP30" i="1"/>
  <c r="AG31" i="1"/>
  <c r="AI31" i="1"/>
  <c r="AP31" i="1"/>
  <c r="AG32" i="1"/>
  <c r="AI32" i="1"/>
  <c r="AP32" i="1"/>
  <c r="AG34" i="1"/>
  <c r="AI34" i="1"/>
  <c r="AP34" i="1"/>
  <c r="AG35" i="1"/>
  <c r="AI35" i="1"/>
  <c r="AP35" i="1"/>
  <c r="AG36" i="1"/>
  <c r="AI36" i="1"/>
  <c r="AP36" i="1"/>
  <c r="AG62" i="1"/>
  <c r="AI62" i="1"/>
  <c r="AP62" i="1"/>
  <c r="AG64" i="1"/>
  <c r="AI64" i="1"/>
  <c r="AP64" i="1"/>
  <c r="AG65" i="1"/>
  <c r="AI65" i="1"/>
  <c r="AP65" i="1"/>
  <c r="AG66" i="1"/>
  <c r="AI66" i="1"/>
  <c r="AP66" i="1"/>
  <c r="AG67" i="1"/>
  <c r="AI67" i="1"/>
  <c r="AP67" i="1"/>
  <c r="AG74" i="1"/>
  <c r="AI74" i="1"/>
  <c r="AP74" i="1"/>
  <c r="AG68" i="1"/>
  <c r="AI68" i="1"/>
  <c r="AP68" i="1"/>
  <c r="AG69" i="1"/>
  <c r="AI69" i="1"/>
  <c r="AP69" i="1"/>
  <c r="AG70" i="1"/>
  <c r="AI70" i="1"/>
  <c r="AP70" i="1"/>
  <c r="AG12" i="1"/>
  <c r="AI12" i="1"/>
  <c r="AP12" i="1"/>
  <c r="AG14" i="1"/>
  <c r="AI14" i="1"/>
  <c r="AP14" i="1"/>
  <c r="AG15" i="1"/>
  <c r="AI15" i="1"/>
  <c r="AP15" i="1"/>
  <c r="AG17" i="1"/>
  <c r="AI17" i="1"/>
  <c r="AP17" i="1"/>
  <c r="AG18" i="1"/>
  <c r="AI18" i="1"/>
  <c r="AP18" i="1"/>
  <c r="AG19" i="1"/>
  <c r="AF145" i="1" s="1"/>
  <c r="AI19" i="1"/>
  <c r="AP19" i="1"/>
  <c r="AE105" i="1"/>
  <c r="AG22" i="1"/>
  <c r="AF144" i="1" s="1"/>
  <c r="AI22" i="1"/>
  <c r="AP22" i="1"/>
  <c r="AE106" i="1"/>
  <c r="AG23" i="1"/>
  <c r="AI23" i="1"/>
  <c r="AP23" i="1"/>
  <c r="AG24" i="1"/>
  <c r="AI24" i="1"/>
  <c r="AP24" i="1"/>
  <c r="AG25" i="1"/>
  <c r="AI25" i="1"/>
  <c r="AP25" i="1"/>
  <c r="AG26" i="1"/>
  <c r="AI26" i="1"/>
  <c r="AP26" i="1"/>
  <c r="AG27" i="1"/>
  <c r="AI27" i="1"/>
  <c r="AP27" i="1"/>
  <c r="AG38" i="1"/>
  <c r="AI38" i="1"/>
  <c r="AP38" i="1"/>
  <c r="AG39" i="1"/>
  <c r="AI39" i="1"/>
  <c r="AP39" i="1"/>
  <c r="AG40" i="1"/>
  <c r="AI40" i="1"/>
  <c r="AP40" i="1"/>
  <c r="AG43" i="1"/>
  <c r="AI43" i="1"/>
  <c r="AP43" i="1"/>
  <c r="AG44" i="1"/>
  <c r="AI44" i="1"/>
  <c r="AP44" i="1"/>
  <c r="AG45" i="1"/>
  <c r="AI45" i="1"/>
  <c r="AP45" i="1"/>
  <c r="AG46" i="1"/>
  <c r="AI46" i="1"/>
  <c r="AP46" i="1"/>
  <c r="AG47" i="1"/>
  <c r="AI47" i="1"/>
  <c r="AP47" i="1"/>
  <c r="AG49" i="1"/>
  <c r="AI49" i="1"/>
  <c r="AP49" i="1"/>
  <c r="AG50" i="1"/>
  <c r="AI50" i="1"/>
  <c r="AP50" i="1"/>
  <c r="AG51" i="1"/>
  <c r="AI51" i="1"/>
  <c r="AP51" i="1"/>
  <c r="AG54" i="1"/>
  <c r="AI54" i="1"/>
  <c r="AP54" i="1"/>
  <c r="AG55" i="1"/>
  <c r="AI55" i="1"/>
  <c r="AP55" i="1"/>
  <c r="AG57" i="1"/>
  <c r="AI57" i="1"/>
  <c r="AP57" i="1"/>
  <c r="AG58" i="1"/>
  <c r="AI58" i="1"/>
  <c r="AP58" i="1"/>
  <c r="AG59" i="1"/>
  <c r="AI59" i="1"/>
  <c r="AP59" i="1"/>
  <c r="AG60" i="1"/>
  <c r="AI60" i="1"/>
  <c r="AP60" i="1"/>
  <c r="AG73" i="1"/>
  <c r="AI73" i="1"/>
  <c r="AP73" i="1"/>
  <c r="AG76" i="1"/>
  <c r="AI76" i="1"/>
  <c r="AP76" i="1"/>
  <c r="AG75" i="1"/>
  <c r="AI75" i="1"/>
  <c r="AP75" i="1"/>
  <c r="AI77" i="1"/>
  <c r="AP77" i="1"/>
  <c r="AE107" i="1"/>
  <c r="AG77" i="1"/>
  <c r="I9" i="5"/>
  <c r="AG10" i="1"/>
  <c r="AF142" i="1" s="1"/>
  <c r="AI10" i="1"/>
  <c r="AP10" i="1"/>
  <c r="AE104" i="1"/>
  <c r="AG56" i="1"/>
  <c r="AI56" i="1"/>
  <c r="AP56" i="1"/>
  <c r="AF146" i="1"/>
  <c r="AG61" i="1"/>
  <c r="AI61" i="1"/>
  <c r="AP61" i="1"/>
  <c r="AG71" i="1"/>
  <c r="AI71" i="1"/>
  <c r="AP71" i="1"/>
  <c r="M7" i="3"/>
  <c r="M101" i="3"/>
  <c r="J41" i="1"/>
  <c r="H112" i="5"/>
  <c r="I112" i="5" s="1"/>
  <c r="J112" i="5" s="1"/>
  <c r="I99" i="1" l="1"/>
  <c r="AO7" i="1"/>
  <c r="T7" i="1"/>
  <c r="AN7" i="1"/>
  <c r="AN99" i="1" s="1"/>
  <c r="F111" i="5"/>
  <c r="AM99" i="1"/>
  <c r="E110" i="5"/>
  <c r="E118" i="5"/>
  <c r="J9" i="5"/>
  <c r="J99" i="1"/>
  <c r="AO41" i="1"/>
  <c r="F41" i="5" s="1"/>
  <c r="T41" i="1"/>
  <c r="AB41" i="1" s="1"/>
  <c r="T99" i="1" l="1"/>
  <c r="AB7" i="1"/>
  <c r="F110" i="5"/>
  <c r="F118" i="5"/>
  <c r="F8" i="5"/>
  <c r="G41" i="5"/>
  <c r="H41" i="5" s="1"/>
  <c r="AC41" i="1"/>
  <c r="AD41" i="1" s="1"/>
  <c r="AE41" i="1" s="1"/>
  <c r="AO99" i="1"/>
  <c r="H111" i="5"/>
  <c r="AC7" i="1" l="1"/>
  <c r="AB99" i="1"/>
  <c r="H8" i="5"/>
  <c r="I41" i="5"/>
  <c r="G118" i="5"/>
  <c r="G8" i="5"/>
  <c r="AG41" i="1"/>
  <c r="AI41" i="1"/>
  <c r="AP41" i="1"/>
  <c r="H110" i="5"/>
  <c r="H118" i="5"/>
  <c r="I111" i="5"/>
  <c r="AD7" i="1" l="1"/>
  <c r="AC99" i="1"/>
  <c r="J41" i="5"/>
  <c r="J8" i="5" s="1"/>
  <c r="I8" i="5"/>
  <c r="J111" i="5"/>
  <c r="I118" i="5"/>
  <c r="I110" i="5"/>
  <c r="AE7" i="1" l="1"/>
  <c r="AD99" i="1"/>
  <c r="J118" i="5"/>
  <c r="J110" i="5"/>
  <c r="AG101" i="1" l="1"/>
  <c r="AE101" i="1"/>
  <c r="AE109" i="1" s="1"/>
  <c r="AE99" i="1"/>
  <c r="AP7" i="1"/>
  <c r="AI7" i="1"/>
  <c r="AI99" i="1" s="1"/>
  <c r="AG7" i="1"/>
  <c r="AG103" i="1" l="1"/>
  <c r="AE112" i="1"/>
  <c r="AF109" i="1"/>
  <c r="AE111" i="1" s="1"/>
  <c r="AG99" i="1"/>
  <c r="AF140" i="1"/>
  <c r="AF148" i="1" s="1"/>
</calcChain>
</file>

<file path=xl/sharedStrings.xml><?xml version="1.0" encoding="utf-8"?>
<sst xmlns="http://schemas.openxmlformats.org/spreadsheetml/2006/main" count="602" uniqueCount="363">
  <si>
    <t>ຕາຕະລາງຄິດໄລ່ອາກອນເງິນເດືອນ</t>
  </si>
  <si>
    <r>
      <rPr>
        <sz val="11"/>
        <color rgb="FF000000"/>
        <rFont val="Noto Sans CJK SC"/>
        <family val="2"/>
      </rPr>
      <t xml:space="preserve">ບໍລິສັດ ມິຢາໂມໂຕ້ </t>
    </r>
    <r>
      <rPr>
        <sz val="11"/>
        <color rgb="FF000000"/>
        <rFont val="Phetsarath OT"/>
        <charset val="1"/>
      </rPr>
      <t>(</t>
    </r>
    <r>
      <rPr>
        <sz val="11"/>
        <color rgb="FF000000"/>
        <rFont val="Noto Sans CJK SC"/>
        <family val="2"/>
      </rPr>
      <t>ລາວ</t>
    </r>
    <r>
      <rPr>
        <sz val="11"/>
        <color rgb="FF000000"/>
        <rFont val="Phetsarath OT"/>
        <charset val="1"/>
      </rPr>
      <t xml:space="preserve">)  </t>
    </r>
    <r>
      <rPr>
        <sz val="11"/>
        <color rgb="FF000000"/>
        <rFont val="Noto Sans CJK SC"/>
        <family val="2"/>
      </rPr>
      <t>ຈຳກັດຜູ້ດຽວ</t>
    </r>
  </si>
  <si>
    <t>ບ້ານໜອງຜື ນຄອນໄກສອນ ແຂວງສະຫວັນນະເຂດ</t>
  </si>
  <si>
    <r>
      <rPr>
        <sz val="11"/>
        <color rgb="FF000000"/>
        <rFont val="Noto Sans CJK SC"/>
        <family val="2"/>
      </rPr>
      <t>ໂທ</t>
    </r>
    <r>
      <rPr>
        <sz val="11"/>
        <color rgb="FF000000"/>
        <rFont val="Phetsarath OT"/>
        <charset val="1"/>
      </rPr>
      <t>: 020 23333500</t>
    </r>
  </si>
  <si>
    <t>ຕ່າງປະເທດ</t>
  </si>
  <si>
    <t>Telephone</t>
  </si>
  <si>
    <t>ສັນຊາດ</t>
  </si>
  <si>
    <t>Days</t>
  </si>
  <si>
    <t>ລວມຮັບ</t>
  </si>
  <si>
    <t>ລວມຫັກ</t>
  </si>
  <si>
    <t>ລວມຮັບສຸດທິ</t>
  </si>
  <si>
    <t>Column1</t>
  </si>
  <si>
    <t>Column2</t>
  </si>
  <si>
    <t>Column3</t>
  </si>
  <si>
    <t>Column4</t>
  </si>
  <si>
    <t>MYL000001</t>
  </si>
  <si>
    <t>MR PHICHAI EIAMWATTANASILP</t>
  </si>
  <si>
    <t>66617893562</t>
  </si>
  <si>
    <t>Director</t>
  </si>
  <si>
    <t>OF</t>
  </si>
  <si>
    <t>NO ACCOUNT</t>
  </si>
  <si>
    <t>MYL000005</t>
  </si>
  <si>
    <t>MR WEERASIT LEEGCHOUR</t>
  </si>
  <si>
    <t>Deputy director 04</t>
  </si>
  <si>
    <t>MYL000002</t>
  </si>
  <si>
    <t>MRS Boualavanh BANPHACHA</t>
  </si>
  <si>
    <t>Deputy director 01</t>
  </si>
  <si>
    <t>ພາຍໃນປະເທດ</t>
  </si>
  <si>
    <t>MYL000003</t>
  </si>
  <si>
    <t>MRS DATSANY BANPHAXA</t>
  </si>
  <si>
    <t>Deputy director 02</t>
  </si>
  <si>
    <t>MYL000004</t>
  </si>
  <si>
    <t>MISS BOUAVONE VANGVONGXAI</t>
  </si>
  <si>
    <t>Deputy director 03</t>
  </si>
  <si>
    <t>020-4-00-00-14636</t>
  </si>
  <si>
    <t>MYL202210001</t>
  </si>
  <si>
    <t>MR ANOUSACK THAMMAVONG</t>
  </si>
  <si>
    <t>Accounting</t>
  </si>
  <si>
    <t>034-5-02-00-00385</t>
  </si>
  <si>
    <t>MYL202001001</t>
  </si>
  <si>
    <t>MR SONESAVANH PHENGPHINIT</t>
  </si>
  <si>
    <t>02092539860</t>
  </si>
  <si>
    <t>030-7-00-00-05957</t>
  </si>
  <si>
    <t>MYL202408005</t>
  </si>
  <si>
    <t>MISS CHANSAMONE PHANTHALAVONG</t>
  </si>
  <si>
    <t>Planning</t>
  </si>
  <si>
    <t>190-9-00-00-00951</t>
  </si>
  <si>
    <t>MYT202602136</t>
  </si>
  <si>
    <t>MRS BOUANGUEN SOMCHANMAVONG</t>
  </si>
  <si>
    <t>PD</t>
  </si>
  <si>
    <t>030-3-00-00-06998</t>
  </si>
  <si>
    <t>MYL202606153</t>
  </si>
  <si>
    <t>MR SEUAPA XAIYAVONG</t>
  </si>
  <si>
    <t>MYL202604144</t>
  </si>
  <si>
    <t>MISS PHOSEE KIANGLANOUSIN</t>
  </si>
  <si>
    <t>OFFICE</t>
  </si>
  <si>
    <t>030-4-00-00-07097</t>
  </si>
  <si>
    <t>MYL201908010</t>
  </si>
  <si>
    <t>MR SAYSAMPHAN  MANEEBOTH</t>
  </si>
  <si>
    <t>Logistic Staff</t>
  </si>
  <si>
    <t>034-0-02-00-00023</t>
  </si>
  <si>
    <t>MYL202001036</t>
  </si>
  <si>
    <t>MISS JINDA BANPHACHA</t>
  </si>
  <si>
    <t>Audit</t>
  </si>
  <si>
    <t>MYL201908016</t>
  </si>
  <si>
    <t>MR AMMALIN</t>
  </si>
  <si>
    <t>Production manager 02</t>
  </si>
  <si>
    <t>034-6-02-00-00010</t>
  </si>
  <si>
    <t>MYL202001049</t>
  </si>
  <si>
    <t>MR BOUNPON</t>
  </si>
  <si>
    <t>034-8-02-00-00072</t>
  </si>
  <si>
    <t>MYL000009</t>
  </si>
  <si>
    <t>MR SONE</t>
  </si>
  <si>
    <t>Security Staff</t>
  </si>
  <si>
    <t>MYL202401027</t>
  </si>
  <si>
    <t>MRS NIK CHANTHANET</t>
  </si>
  <si>
    <t>Maid Staff</t>
  </si>
  <si>
    <t>034-0-02-00-00108</t>
  </si>
  <si>
    <t>MYL201908028</t>
  </si>
  <si>
    <t>MR TERY KHAMKOUNA</t>
  </si>
  <si>
    <t>02059103026</t>
  </si>
  <si>
    <t>Engineering</t>
  </si>
  <si>
    <t>034-1-02-00-00059</t>
  </si>
  <si>
    <t>MYL202507076</t>
  </si>
  <si>
    <t>MR XAYSONGKHAM SOMSANITH</t>
  </si>
  <si>
    <t>034-9-02-00-00398</t>
  </si>
  <si>
    <t>MYL201908026</t>
  </si>
  <si>
    <t>MR SONGKAN PHACHANSITTHI</t>
  </si>
  <si>
    <t>QC Manager 02</t>
  </si>
  <si>
    <t>030-0-00-00-05978</t>
  </si>
  <si>
    <t>MYL202504064</t>
  </si>
  <si>
    <t>MISS NALIN SYHALATH</t>
  </si>
  <si>
    <t>QC PTS</t>
  </si>
  <si>
    <t>030-3-02-00-12401</t>
  </si>
  <si>
    <t>MYL202606160</t>
  </si>
  <si>
    <t>MISS LAMPHAI THUMMAVONGE</t>
  </si>
  <si>
    <t>QC SAS</t>
  </si>
  <si>
    <t>MYL202301037</t>
  </si>
  <si>
    <t>MRS PHOULATSAMY SETTHATHILATH</t>
  </si>
  <si>
    <t>STORE PTS</t>
  </si>
  <si>
    <t>034-3-02-00-00226</t>
  </si>
  <si>
    <t>MYT202602133</t>
  </si>
  <si>
    <t>MR BOUNTHAVY KOMKAIYASONE</t>
  </si>
  <si>
    <t>MYL202404006</t>
  </si>
  <si>
    <t>MR SENGMANY PHATTHANA</t>
  </si>
  <si>
    <t>STORE OTS</t>
  </si>
  <si>
    <t>034-9-02-00-00376</t>
  </si>
  <si>
    <t>MYL202601128</t>
  </si>
  <si>
    <t>MR KHAMPHASITH XAYYAJACK</t>
  </si>
  <si>
    <t>MYL202606162</t>
  </si>
  <si>
    <t>MISS KHONESAVANH CHANTHALAY</t>
  </si>
  <si>
    <t>MYL202001035</t>
  </si>
  <si>
    <t>MRS TOUKTA  PONGSIMMALY</t>
  </si>
  <si>
    <t>STORE SAS</t>
  </si>
  <si>
    <t>034-7-02-00-00121</t>
  </si>
  <si>
    <t>MYL202605151</t>
  </si>
  <si>
    <t>MR SOULIYA</t>
  </si>
  <si>
    <t>MYL202201050</t>
  </si>
  <si>
    <t>MR TOUTONNAM KHOUNSAVANH</t>
  </si>
  <si>
    <t>Welding  PTS</t>
  </si>
  <si>
    <t>034-2-02-00-00212</t>
  </si>
  <si>
    <t>MYL202502061</t>
  </si>
  <si>
    <t>MR KHONESAVANH SYTHAVONG</t>
  </si>
  <si>
    <t>030-6-02-00-12411</t>
  </si>
  <si>
    <t>MYL202504072</t>
  </si>
  <si>
    <t>MR BACKHAM XAISONGKHAM</t>
  </si>
  <si>
    <t>MYL202509108</t>
  </si>
  <si>
    <t>MR SEEVA  PONGSIMMALY</t>
  </si>
  <si>
    <t>MYL202509109</t>
  </si>
  <si>
    <t>MR YOD CHAMPA</t>
  </si>
  <si>
    <t>MYT202604143</t>
  </si>
  <si>
    <t>MR BOUNSAVATH PHETKHAMBOONHUEANG</t>
  </si>
  <si>
    <t>MYL202405041</t>
  </si>
  <si>
    <t>MR BOUNXUEN SISOMBOUN</t>
  </si>
  <si>
    <t>Welding OTS 1</t>
  </si>
  <si>
    <t>034-1-02-00-00349</t>
  </si>
  <si>
    <t>MYL202503042</t>
  </si>
  <si>
    <t>MR PHOLIYA</t>
  </si>
  <si>
    <t>MYL202502048</t>
  </si>
  <si>
    <t>MR XAYSANA CHANTHAVILAY</t>
  </si>
  <si>
    <t>030-9-02-00-12410</t>
  </si>
  <si>
    <t>MYL202601088</t>
  </si>
  <si>
    <t>MR SAYYAPHONE CHAMPA</t>
  </si>
  <si>
    <t>MYL202505089</t>
  </si>
  <si>
    <t>MR VONGDEUAN PHIMMASOME</t>
  </si>
  <si>
    <t>MYL202507103</t>
  </si>
  <si>
    <t>MR NOUZING SEELANAM</t>
  </si>
  <si>
    <t>MYL202606157</t>
  </si>
  <si>
    <t>MR PHOUTHONE CHANTHAVONGSA</t>
  </si>
  <si>
    <t>MYL201908038</t>
  </si>
  <si>
    <t>MR PHONEPHANA  SINGSUAYKEO</t>
  </si>
  <si>
    <t>Welding OTS 2</t>
  </si>
  <si>
    <t>034-4-02-00-00003</t>
  </si>
  <si>
    <t>MYL202502043</t>
  </si>
  <si>
    <t>MR JONENY CHAMPA</t>
  </si>
  <si>
    <t>030-3-02-00-12412</t>
  </si>
  <si>
    <t>MYL202504055</t>
  </si>
  <si>
    <t>MR BOUNMA SOUTHALIN</t>
  </si>
  <si>
    <t>030-0-00-00-06591</t>
  </si>
  <si>
    <t>MYL202507097</t>
  </si>
  <si>
    <t>MR CHAT SAENGARLUON</t>
  </si>
  <si>
    <t>MYL202507101</t>
  </si>
  <si>
    <t>MR BOUNKEUTH NORLATH</t>
  </si>
  <si>
    <t>MYL202601126</t>
  </si>
  <si>
    <t>MR BONETHANA SYPASUET</t>
  </si>
  <si>
    <t>MYL202605148</t>
  </si>
  <si>
    <t>MR VILAYLACK SEEMIXAI</t>
  </si>
  <si>
    <t>MYL202606154</t>
  </si>
  <si>
    <t>MR THUDSAPHONE HOUNGLADSAMEE</t>
  </si>
  <si>
    <t>MYL202001008</t>
  </si>
  <si>
    <t>MRS SAVINY PHOUTTHALAKSA</t>
  </si>
  <si>
    <t>Valve Assembly</t>
  </si>
  <si>
    <t>034-5-02-00-00039</t>
  </si>
  <si>
    <t>MYL202501009</t>
  </si>
  <si>
    <t>MRS SUINOY THILAKHAMPHIW</t>
  </si>
  <si>
    <t>030-0-02-00-12402</t>
  </si>
  <si>
    <t>MYL202001019</t>
  </si>
  <si>
    <t>MRS VANNAPHA VONGCHANDY</t>
  </si>
  <si>
    <t>PISTON Assembly</t>
  </si>
  <si>
    <t>034-5-02-00-00040</t>
  </si>
  <si>
    <t>MYL202509115</t>
  </si>
  <si>
    <t>MRS TOUNY SENGSOULIN</t>
  </si>
  <si>
    <t>034-7-02-00-00400</t>
  </si>
  <si>
    <t>MYL201908033</t>
  </si>
  <si>
    <t>MR SIPHAN KITTILATH</t>
  </si>
  <si>
    <t>Assembly_PTS</t>
  </si>
  <si>
    <t>034-6-02-00-00009</t>
  </si>
  <si>
    <t>MYL202502017</t>
  </si>
  <si>
    <t>MRS KHAMPHOUVI SETTHATHILATH</t>
  </si>
  <si>
    <t>030-6-02-00-12400</t>
  </si>
  <si>
    <t>MYL202405034</t>
  </si>
  <si>
    <t>MRS TOUKTA ORLADASITH</t>
  </si>
  <si>
    <t>030-9-02-00-12313</t>
  </si>
  <si>
    <t>MYT202511121</t>
  </si>
  <si>
    <t>MR KHAMPHENG SENGDALA</t>
  </si>
  <si>
    <t>032-8-00-00-00492</t>
  </si>
  <si>
    <t>MYL202604145</t>
  </si>
  <si>
    <t>MRS SUAY SENGDALA</t>
  </si>
  <si>
    <t>MYL202405063</t>
  </si>
  <si>
    <t>MR LOUNGMISAY SINPASEUTH</t>
  </si>
  <si>
    <t>Assembly SAS</t>
  </si>
  <si>
    <t>034-7-02-00-00369</t>
  </si>
  <si>
    <t>MYL202406012</t>
  </si>
  <si>
    <t>MR JIMMY KETTAVONG</t>
  </si>
  <si>
    <t>034-1-02-00-00372</t>
  </si>
  <si>
    <t>MYL202405031</t>
  </si>
  <si>
    <t>MR NOUPHONE CHANTHAMALY</t>
  </si>
  <si>
    <t>034-7-02-00-00370</t>
  </si>
  <si>
    <t>MYL202504053</t>
  </si>
  <si>
    <t>MISS SOUTSADA SOUTHALIN</t>
  </si>
  <si>
    <t>030-3-00-00-06589</t>
  </si>
  <si>
    <t>MYL202505080</t>
  </si>
  <si>
    <t>MR BOM CHANTHALATH</t>
  </si>
  <si>
    <t>MYL202505090</t>
  </si>
  <si>
    <t>MR SOUKCHAI XAISONGKHARM</t>
  </si>
  <si>
    <t>MYL202606161</t>
  </si>
  <si>
    <t>MR PHOUTHASONE SEELIVONGE</t>
  </si>
  <si>
    <t>MYL202502032</t>
  </si>
  <si>
    <t>MR BAIPHONE SYTHALATH</t>
  </si>
  <si>
    <t>PACKING</t>
  </si>
  <si>
    <t>030-8-02-00-12406</t>
  </si>
  <si>
    <t>MYL202503139</t>
  </si>
  <si>
    <t>MR VANHOUDONE PHOMMATHAI</t>
  </si>
  <si>
    <t>MYL000006</t>
  </si>
  <si>
    <t>MISS PHONEMANY BANPHACHA</t>
  </si>
  <si>
    <t>MYL000007</t>
  </si>
  <si>
    <t>MISS DOUANGDAO BANPHACHA</t>
  </si>
  <si>
    <t>MYL202502007</t>
  </si>
  <si>
    <t>MR CHANETHAVISAI PHATTHANA</t>
  </si>
  <si>
    <t>STORE TT</t>
  </si>
  <si>
    <t>MYL202410021</t>
  </si>
  <si>
    <t xml:space="preserve">MISS PANATDA </t>
  </si>
  <si>
    <t>MYL202606</t>
  </si>
  <si>
    <t>MISS MAION</t>
  </si>
  <si>
    <t>Grand Total</t>
  </si>
  <si>
    <t xml:space="preserve"> Total </t>
  </si>
  <si>
    <t>Mr Phichai</t>
  </si>
  <si>
    <t>Mrs Boualavanh</t>
  </si>
  <si>
    <t>Mrs Datsan</t>
  </si>
  <si>
    <t>MR WEERASIT</t>
  </si>
  <si>
    <t>B</t>
  </si>
  <si>
    <t>Mr Sone</t>
  </si>
  <si>
    <t>Miss Jinda</t>
  </si>
  <si>
    <t>MR CHANETHAVISAI</t>
  </si>
  <si>
    <t>THB Total</t>
  </si>
  <si>
    <t>ບາດ</t>
  </si>
  <si>
    <t>Staff Total</t>
  </si>
  <si>
    <t>$</t>
  </si>
  <si>
    <t>USD</t>
  </si>
  <si>
    <t>ສາທາລະນະລັດ  ປະຊາທິປະໄຕ  ປະຊາຊົນລາວ</t>
  </si>
  <si>
    <t>ສັນຕິພາບ  ເອກະລາດ  ປະຊາທິປະໄຕ  ເອກະພາບ  ວັດຖະນາຖາວອນ</t>
  </si>
  <si>
    <r>
      <rPr>
        <sz val="12"/>
        <color rgb="FF000000"/>
        <rFont val="Noto Sans CJK SC"/>
        <family val="2"/>
      </rPr>
      <t>ເຂດເສດຖະກິດພີເສດ ສະຫວັນ</t>
    </r>
    <r>
      <rPr>
        <sz val="12"/>
        <color rgb="FF000000"/>
        <rFont val="Phetsarath OT"/>
        <charset val="1"/>
      </rPr>
      <t>-</t>
    </r>
    <r>
      <rPr>
        <sz val="12"/>
        <color rgb="FF000000"/>
        <rFont val="Noto Sans CJK SC"/>
        <family val="2"/>
      </rPr>
      <t>ເຊໂນ</t>
    </r>
  </si>
  <si>
    <t>&gt;&gt;&gt;&gt;&gt;&gt;&gt;&gt;000000&lt;&lt;&lt;&lt;&lt;&lt;&lt;&lt;&lt;&lt;</t>
  </si>
  <si>
    <t>ບໍລິສັດ ມີຢາໂມໂຕ ລາວ ຈຳກັດຜູ້ດຽວ</t>
  </si>
  <si>
    <r>
      <rPr>
        <sz val="12"/>
        <color rgb="FF000000"/>
        <rFont val="Noto Sans CJK SC"/>
        <family val="2"/>
      </rPr>
      <t xml:space="preserve">ໂທລະສັບ </t>
    </r>
    <r>
      <rPr>
        <sz val="12"/>
        <color rgb="FF000000"/>
        <rFont val="Phetsarath OT"/>
        <charset val="1"/>
      </rPr>
      <t>:+8562023333500</t>
    </r>
  </si>
  <si>
    <t>ຕາຕະລາງຄິດໄລ່ເງິນ ໂອທີ ພະນັກງານ</t>
  </si>
  <si>
    <r>
      <rPr>
        <b/>
        <sz val="16"/>
        <color rgb="FF000000"/>
        <rFont val="Noto Sans CJK SC"/>
        <family val="2"/>
      </rPr>
      <t xml:space="preserve">ປະຈຳວັນ ເດືອນ </t>
    </r>
    <r>
      <rPr>
        <b/>
        <sz val="16"/>
        <color rgb="FF000000"/>
        <rFont val="Phetsarath OT"/>
        <charset val="1"/>
      </rPr>
      <t>06/2026</t>
    </r>
  </si>
  <si>
    <r>
      <rPr>
        <b/>
        <sz val="12"/>
        <color rgb="FFFFFFFF"/>
        <rFont val="Noto Sans CJK SC"/>
        <family val="2"/>
      </rPr>
      <t>ລ</t>
    </r>
    <r>
      <rPr>
        <b/>
        <sz val="12"/>
        <color rgb="FFFFFFFF"/>
        <rFont val="Phetsarath OT"/>
        <charset val="1"/>
      </rPr>
      <t>/</t>
    </r>
    <r>
      <rPr>
        <b/>
        <sz val="12"/>
        <color rgb="FFFFFFFF"/>
        <rFont val="Noto Sans CJK SC"/>
        <family val="2"/>
      </rPr>
      <t xml:space="preserve">ດ
</t>
    </r>
    <r>
      <rPr>
        <b/>
        <sz val="12"/>
        <color rgb="FFFFFFFF"/>
        <rFont val="Phetsarath OT"/>
        <charset val="1"/>
      </rPr>
      <t>No.</t>
    </r>
  </si>
  <si>
    <r>
      <rPr>
        <b/>
        <sz val="12"/>
        <color rgb="FFFFFFFF"/>
        <rFont val="Noto Sans CJK SC"/>
        <family val="2"/>
      </rPr>
      <t xml:space="preserve">ລະຫັດພງ
</t>
    </r>
    <r>
      <rPr>
        <b/>
        <sz val="12"/>
        <color rgb="FFFFFFFF"/>
        <rFont val="Phetsarath OT"/>
        <charset val="1"/>
      </rPr>
      <t>Emplyee ID</t>
    </r>
  </si>
  <si>
    <r>
      <rPr>
        <b/>
        <sz val="12"/>
        <color rgb="FFFFFFFF"/>
        <rFont val="Noto Sans CJK SC"/>
        <family val="2"/>
      </rPr>
      <t xml:space="preserve">ຊື່ ແລະ ນາສະກຸນ
</t>
    </r>
    <r>
      <rPr>
        <b/>
        <sz val="12"/>
        <color rgb="FFFFFFFF"/>
        <rFont val="Phetsarath OT"/>
        <charset val="1"/>
      </rPr>
      <t>Name and Surname</t>
    </r>
  </si>
  <si>
    <r>
      <rPr>
        <b/>
        <sz val="12"/>
        <color rgb="FFFFFFFF"/>
        <rFont val="Noto Sans CJK SC"/>
        <family val="2"/>
      </rPr>
      <t xml:space="preserve">ຕຳແໜ່ງ
</t>
    </r>
    <r>
      <rPr>
        <b/>
        <sz val="12"/>
        <color rgb="FFFFFFFF"/>
        <rFont val="Phetsarath OT"/>
        <charset val="1"/>
      </rPr>
      <t>Position</t>
    </r>
  </si>
  <si>
    <r>
      <rPr>
        <b/>
        <sz val="12"/>
        <color rgb="FFFFFFFF"/>
        <rFont val="Noto Sans CJK SC"/>
        <family val="2"/>
      </rPr>
      <t xml:space="preserve">ເງິນເດືອນພື້ນຖານ </t>
    </r>
    <r>
      <rPr>
        <b/>
        <sz val="12"/>
        <color rgb="FFFFFFFF"/>
        <rFont val="Phetsarath OT"/>
        <charset val="1"/>
      </rPr>
      <t>Basic Salary</t>
    </r>
  </si>
  <si>
    <r>
      <rPr>
        <b/>
        <sz val="12"/>
        <color rgb="FFFFFFFF"/>
        <rFont val="Noto Sans CJK SC"/>
        <family val="2"/>
      </rPr>
      <t xml:space="preserve">ຄິດເປັນເງິນຕໍ່ </t>
    </r>
    <r>
      <rPr>
        <b/>
        <sz val="12"/>
        <color rgb="FFFFFFFF"/>
        <rFont val="Phetsarath OT"/>
        <charset val="1"/>
      </rPr>
      <t>1</t>
    </r>
    <r>
      <rPr>
        <b/>
        <sz val="12"/>
        <color rgb="FFFFFFFF"/>
        <rFont val="Noto Sans CJK SC"/>
        <family val="2"/>
      </rPr>
      <t>ຊົວໂມງ</t>
    </r>
  </si>
  <si>
    <r>
      <rPr>
        <b/>
        <sz val="12"/>
        <color rgb="FFFFFFFF"/>
        <rFont val="Noto Sans CJK SC"/>
        <family val="2"/>
      </rPr>
      <t>ວັນຈັນ</t>
    </r>
    <r>
      <rPr>
        <b/>
        <sz val="12"/>
        <color rgb="FFFFFFFF"/>
        <rFont val="Phetsarath OT"/>
        <charset val="1"/>
      </rPr>
      <t>-</t>
    </r>
    <r>
      <rPr>
        <b/>
        <sz val="12"/>
        <color rgb="FFFFFFFF"/>
        <rFont val="Noto Sans CJK SC"/>
        <family val="2"/>
      </rPr>
      <t xml:space="preserve">ສຸກ </t>
    </r>
    <r>
      <rPr>
        <b/>
        <sz val="12"/>
        <color rgb="FFFFFFFF"/>
        <rFont val="Phetsarath OT"/>
        <charset val="1"/>
      </rPr>
      <t>1.5</t>
    </r>
  </si>
  <si>
    <t>ຈຳນວນ ຊົວໂມງ</t>
  </si>
  <si>
    <t>ລວມເງິນ</t>
  </si>
  <si>
    <r>
      <rPr>
        <b/>
        <sz val="12"/>
        <color rgb="FFFFFFFF"/>
        <rFont val="Noto Sans CJK SC"/>
        <family val="2"/>
      </rPr>
      <t xml:space="preserve">ວັນເສົາ </t>
    </r>
    <r>
      <rPr>
        <b/>
        <sz val="12"/>
        <color rgb="FFFFFFFF"/>
        <rFont val="Phetsarath OT"/>
        <charset val="1"/>
      </rPr>
      <t>2</t>
    </r>
  </si>
  <si>
    <r>
      <rPr>
        <b/>
        <sz val="12"/>
        <color rgb="FFFFFFFF"/>
        <rFont val="Noto Sans CJK SC"/>
        <family val="2"/>
      </rPr>
      <t xml:space="preserve">ວັນອາທີດ </t>
    </r>
    <r>
      <rPr>
        <b/>
        <sz val="12"/>
        <color rgb="FFFFFFFF"/>
        <rFont val="Phetsarath OT"/>
        <charset val="1"/>
      </rPr>
      <t>2.5</t>
    </r>
  </si>
  <si>
    <t>ຈຳນວນຊົວໂມງ</t>
  </si>
  <si>
    <t>ລວມເງິນທັງໜົດ</t>
  </si>
  <si>
    <r>
      <rPr>
        <b/>
        <sz val="12"/>
        <color rgb="FFFFFFFF"/>
        <rFont val="Noto Sans CJK SC"/>
        <family val="2"/>
      </rPr>
      <t xml:space="preserve">ອາກອນ </t>
    </r>
    <r>
      <rPr>
        <b/>
        <sz val="12"/>
        <color rgb="FFFFFFFF"/>
        <rFont val="Phetsarath OT"/>
        <charset val="1"/>
      </rPr>
      <t>5%</t>
    </r>
  </si>
  <si>
    <t>ລວມຈຳນວນເງິນ</t>
  </si>
  <si>
    <t>ເຊັນຮັບເງິນ</t>
  </si>
  <si>
    <t>ລວມ</t>
  </si>
  <si>
    <r>
      <rPr>
        <b/>
        <sz val="14"/>
        <color rgb="FF000000"/>
        <rFont val="Noto Sans CJK SC"/>
        <family val="2"/>
      </rPr>
      <t xml:space="preserve">ຕາຕະລາງຄິດໄລ່ເງີນກະກາງຄືນ ປະຈຳເດືອນ </t>
    </r>
    <r>
      <rPr>
        <b/>
        <sz val="14"/>
        <color rgb="FF000000"/>
        <rFont val="Phetsarath OT"/>
        <charset val="1"/>
      </rPr>
      <t>06/2026</t>
    </r>
  </si>
  <si>
    <r>
      <rPr>
        <b/>
        <sz val="11"/>
        <color rgb="FFFFFFFF"/>
        <rFont val="Noto Sans CJK SC"/>
        <family val="2"/>
      </rPr>
      <t>ລ</t>
    </r>
    <r>
      <rPr>
        <b/>
        <sz val="11"/>
        <color rgb="FFFFFFFF"/>
        <rFont val="Phetsarath OT"/>
        <charset val="1"/>
      </rPr>
      <t>/</t>
    </r>
    <r>
      <rPr>
        <b/>
        <sz val="11"/>
        <color rgb="FFFFFFFF"/>
        <rFont val="Noto Sans CJK SC"/>
        <family val="2"/>
      </rPr>
      <t xml:space="preserve">ດ
</t>
    </r>
    <r>
      <rPr>
        <b/>
        <sz val="11"/>
        <color rgb="FFFFFFFF"/>
        <rFont val="Phetsarath OT"/>
        <charset val="1"/>
      </rPr>
      <t>No.</t>
    </r>
  </si>
  <si>
    <r>
      <rPr>
        <b/>
        <sz val="11"/>
        <color rgb="FFFFFFFF"/>
        <rFont val="Noto Sans CJK SC"/>
        <family val="2"/>
      </rPr>
      <t xml:space="preserve">ລະຫັດພງ
</t>
    </r>
    <r>
      <rPr>
        <b/>
        <sz val="11"/>
        <color rgb="FFFFFFFF"/>
        <rFont val="Phetsarath OT"/>
        <charset val="1"/>
      </rPr>
      <t>Emplyee ID</t>
    </r>
  </si>
  <si>
    <r>
      <rPr>
        <b/>
        <sz val="11"/>
        <color rgb="FFFFFFFF"/>
        <rFont val="Noto Sans CJK SC"/>
        <family val="2"/>
      </rPr>
      <t xml:space="preserve">ຊື່ ແລະ ນາສະກຸນ
</t>
    </r>
    <r>
      <rPr>
        <b/>
        <sz val="11"/>
        <color rgb="FFFFFFFF"/>
        <rFont val="Phetsarath OT"/>
        <charset val="1"/>
      </rPr>
      <t>Name and Surname</t>
    </r>
  </si>
  <si>
    <r>
      <rPr>
        <b/>
        <sz val="11"/>
        <color rgb="FFFFFFFF"/>
        <rFont val="Noto Sans CJK SC"/>
        <family val="2"/>
      </rPr>
      <t xml:space="preserve">ຕຳແໜ່ງ
</t>
    </r>
    <r>
      <rPr>
        <b/>
        <sz val="11"/>
        <color rgb="FFFFFFFF"/>
        <rFont val="Phetsarath OT"/>
        <charset val="1"/>
      </rPr>
      <t>Position</t>
    </r>
  </si>
  <si>
    <r>
      <rPr>
        <b/>
        <sz val="11"/>
        <color rgb="FFFFFFFF"/>
        <rFont val="Noto Sans CJK SC"/>
        <family val="2"/>
      </rPr>
      <t xml:space="preserve">ເງິນເດືອນພື້ນຖານ </t>
    </r>
    <r>
      <rPr>
        <b/>
        <sz val="11"/>
        <color rgb="FFFFFFFF"/>
        <rFont val="Phetsarath OT"/>
        <charset val="1"/>
      </rPr>
      <t>Basic Salary</t>
    </r>
  </si>
  <si>
    <t>ຈຳນວນ</t>
  </si>
  <si>
    <t>Total</t>
  </si>
  <si>
    <r>
      <rPr>
        <b/>
        <sz val="14"/>
        <color rgb="FF000000"/>
        <rFont val="Noto Sans CJK SC"/>
        <family val="2"/>
      </rPr>
      <t xml:space="preserve">ຕາຕະລາງຄິດໄລ່ເງີນກະກາງຄືນ ປະຈຳເດືອນ </t>
    </r>
    <r>
      <rPr>
        <b/>
        <sz val="14"/>
        <color rgb="FF000000"/>
        <rFont val="Phetsarath OT"/>
        <charset val="1"/>
      </rPr>
      <t>05/2026</t>
    </r>
  </si>
  <si>
    <r>
      <rPr>
        <b/>
        <sz val="12"/>
        <color rgb="FFFFFFFF"/>
        <rFont val="Noto Sans CJK SC"/>
        <family val="2"/>
      </rPr>
      <t xml:space="preserve">ມາຊ້າ </t>
    </r>
    <r>
      <rPr>
        <b/>
        <sz val="12"/>
        <color rgb="FFFFFFFF"/>
        <rFont val="Phetsarath OT"/>
        <charset val="1"/>
      </rPr>
      <t xml:space="preserve">'1-10 </t>
    </r>
    <r>
      <rPr>
        <b/>
        <sz val="12"/>
        <color rgb="FFFFFFFF"/>
        <rFont val="Noto Sans CJK SC"/>
        <family val="2"/>
      </rPr>
      <t>ນາທີ</t>
    </r>
  </si>
  <si>
    <t>ມາຊ້າ</t>
  </si>
  <si>
    <t>ລວມເປັນເງິນ</t>
  </si>
  <si>
    <r>
      <rPr>
        <b/>
        <sz val="12"/>
        <color rgb="FFFFFFFF"/>
        <rFont val="Noto Sans CJK SC"/>
        <family val="2"/>
      </rPr>
      <t xml:space="preserve">ມາຊ້າ </t>
    </r>
    <r>
      <rPr>
        <b/>
        <sz val="12"/>
        <color rgb="FFFFFFFF"/>
        <rFont val="Phetsarath OT"/>
        <charset val="1"/>
      </rPr>
      <t xml:space="preserve">10-30 </t>
    </r>
    <r>
      <rPr>
        <b/>
        <sz val="12"/>
        <color rgb="FFFFFFFF"/>
        <rFont val="Noto Sans CJK SC"/>
        <family val="2"/>
      </rPr>
      <t>ນາທີ</t>
    </r>
  </si>
  <si>
    <r>
      <rPr>
        <b/>
        <sz val="12"/>
        <color rgb="FFFFFFFF"/>
        <rFont val="Noto Sans CJK SC"/>
        <family val="2"/>
      </rPr>
      <t>ມາຊ້າ</t>
    </r>
    <r>
      <rPr>
        <b/>
        <sz val="12"/>
        <color rgb="FFFFFFFF"/>
        <rFont val="Phetsarath OT"/>
        <charset val="1"/>
      </rPr>
      <t>/</t>
    </r>
    <r>
      <rPr>
        <b/>
        <sz val="12"/>
        <color rgb="FFFFFFFF"/>
        <rFont val="Noto Sans CJK SC"/>
        <family val="2"/>
      </rPr>
      <t>ຄັ້ງ</t>
    </r>
  </si>
  <si>
    <r>
      <rPr>
        <b/>
        <sz val="12"/>
        <color rgb="FFFFFFFF"/>
        <rFont val="Noto Sans CJK SC"/>
        <family val="2"/>
      </rPr>
      <t xml:space="preserve">ມາຊ້າ </t>
    </r>
    <r>
      <rPr>
        <b/>
        <sz val="12"/>
        <color rgb="FFFFFFFF"/>
        <rFont val="Phetsarath OT"/>
        <charset val="1"/>
      </rPr>
      <t xml:space="preserve">30 </t>
    </r>
    <r>
      <rPr>
        <b/>
        <sz val="12"/>
        <color rgb="FFFFFFFF"/>
        <rFont val="Noto Sans CJK SC"/>
        <family val="2"/>
      </rPr>
      <t>ນາທີຂື້ນໄປ</t>
    </r>
  </si>
  <si>
    <r>
      <rPr>
        <b/>
        <sz val="12"/>
        <color rgb="FFFFFFFF"/>
        <rFont val="Noto Sans CJK SC"/>
        <family val="2"/>
      </rPr>
      <t>ເງິນຂາດວຽກ</t>
    </r>
    <r>
      <rPr>
        <b/>
        <sz val="12"/>
        <color rgb="FFFFFFFF"/>
        <rFont val="Phetsarath OT"/>
        <charset val="1"/>
      </rPr>
      <t>/1</t>
    </r>
    <r>
      <rPr>
        <b/>
        <sz val="12"/>
        <color rgb="FFFFFFFF"/>
        <rFont val="Noto Sans CJK SC"/>
        <family val="2"/>
      </rPr>
      <t>ມື້</t>
    </r>
  </si>
  <si>
    <t>ຈຳນວນມື້ ຂາດວຽກ</t>
  </si>
  <si>
    <t>ລວມເປັນເງິນ ມື້ຂາດວຽກ</t>
  </si>
  <si>
    <r>
      <rPr>
        <b/>
        <sz val="12"/>
        <color rgb="FFFFFFFF"/>
        <rFont val="Noto Sans CJK SC"/>
        <family val="2"/>
      </rPr>
      <t>ເງິນບໍ່ເຕັມເດືອນ</t>
    </r>
    <r>
      <rPr>
        <b/>
        <sz val="12"/>
        <color rgb="FFFFFFFF"/>
        <rFont val="Phetsarath OT"/>
        <charset val="1"/>
      </rPr>
      <t>/1</t>
    </r>
    <r>
      <rPr>
        <b/>
        <sz val="12"/>
        <color rgb="FFFFFFFF"/>
        <rFont val="Noto Sans CJK SC"/>
        <family val="2"/>
      </rPr>
      <t>ມື້</t>
    </r>
  </si>
  <si>
    <t>ຈຳນວນມື້ ບໍ່ເຕັມເດືອນ</t>
  </si>
  <si>
    <r>
      <rPr>
        <b/>
        <sz val="11"/>
        <color rgb="FF000000"/>
        <rFont val="Noto Sans CJK SC"/>
        <family val="2"/>
      </rPr>
      <t>ເຂດເສດຖະກິດພີເສດ ສະຫວັນ</t>
    </r>
    <r>
      <rPr>
        <b/>
        <sz val="11"/>
        <color rgb="FF000000"/>
        <rFont val="Phetsarath OT"/>
        <charset val="1"/>
      </rPr>
      <t>-</t>
    </r>
    <r>
      <rPr>
        <b/>
        <sz val="11"/>
        <color rgb="FF000000"/>
        <rFont val="Noto Sans CJK SC"/>
        <family val="2"/>
      </rPr>
      <t xml:space="preserve">ເຊໂນ
ບໍລິສັດ ມີຢາໂມໂຕ </t>
    </r>
    <r>
      <rPr>
        <b/>
        <sz val="11"/>
        <color rgb="FF000000"/>
        <rFont val="Phetsarath OT"/>
        <charset val="1"/>
      </rPr>
      <t>(</t>
    </r>
    <r>
      <rPr>
        <b/>
        <sz val="11"/>
        <color rgb="FF000000"/>
        <rFont val="Noto Sans CJK SC"/>
        <family val="2"/>
      </rPr>
      <t>ລາວ</t>
    </r>
    <r>
      <rPr>
        <b/>
        <sz val="11"/>
        <color rgb="FF000000"/>
        <rFont val="Phetsarath OT"/>
        <charset val="1"/>
      </rPr>
      <t xml:space="preserve">) </t>
    </r>
    <r>
      <rPr>
        <b/>
        <sz val="11"/>
        <color rgb="FF000000"/>
        <rFont val="Noto Sans CJK SC"/>
        <family val="2"/>
      </rPr>
      <t xml:space="preserve">ຈຳກັດຜູ້ດຽວ                                                     ບ້ານ ໜອງຜື ນຄອນໄກສອນ ແຂວງສະຫວັນນະເຂດ
ເລກປະຈຳຕົວຜູ້ເສຍອາກອນ  </t>
    </r>
    <r>
      <rPr>
        <b/>
        <sz val="11"/>
        <color rgb="FF000000"/>
        <rFont val="Phetsarath OT"/>
        <charset val="1"/>
      </rPr>
      <t xml:space="preserve">045527554000
</t>
    </r>
    <r>
      <rPr>
        <b/>
        <sz val="11"/>
        <color rgb="FF000000"/>
        <rFont val="Noto Sans CJK SC"/>
        <family val="2"/>
      </rPr>
      <t xml:space="preserve">ໂທລະສັບ </t>
    </r>
    <r>
      <rPr>
        <b/>
        <sz val="11"/>
        <color rgb="FF000000"/>
        <rFont val="Phetsarath OT"/>
        <charset val="1"/>
      </rPr>
      <t>:+8562023333500</t>
    </r>
  </si>
  <si>
    <r>
      <rPr>
        <b/>
        <sz val="14"/>
        <color rgb="FF000000"/>
        <rFont val="Noto Sans CJK SC"/>
        <family val="2"/>
      </rPr>
      <t xml:space="preserve">ໃບຄິດໄລ່ອາກອນລາຍໄດ້ ປະຈຳເດືອນ </t>
    </r>
    <r>
      <rPr>
        <b/>
        <sz val="14"/>
        <color rgb="FF000000"/>
        <rFont val="Phetsarath OT"/>
        <charset val="1"/>
      </rPr>
      <t>06/2026</t>
    </r>
  </si>
  <si>
    <r>
      <rPr>
        <b/>
        <sz val="11"/>
        <color rgb="FFFFFFFF"/>
        <rFont val="Noto Sans CJK SC"/>
        <family val="2"/>
      </rPr>
      <t xml:space="preserve">ຕຳແໜ່ງງານ
</t>
    </r>
    <r>
      <rPr>
        <b/>
        <sz val="11"/>
        <color rgb="FFFFFFFF"/>
        <rFont val="Phetsarath OT"/>
        <charset val="1"/>
      </rPr>
      <t>Position</t>
    </r>
  </si>
  <si>
    <r>
      <rPr>
        <b/>
        <sz val="11"/>
        <color rgb="FFFFFFFF"/>
        <rFont val="Noto Sans CJK SC"/>
        <family val="2"/>
      </rPr>
      <t xml:space="preserve">ເງິນເດືອນໄດ້ຮັບ
 </t>
    </r>
    <r>
      <rPr>
        <b/>
        <sz val="11"/>
        <color rgb="FFFFFFFF"/>
        <rFont val="Phetsarath OT"/>
        <charset val="1"/>
      </rPr>
      <t>Gross Salary</t>
    </r>
  </si>
  <si>
    <r>
      <rPr>
        <b/>
        <sz val="11"/>
        <color rgb="FFFFFFFF"/>
        <rFont val="Noto Sans CJK SC"/>
        <family val="2"/>
      </rPr>
      <t xml:space="preserve">ຜົນປະໂຫຍດອື່ນໆ
</t>
    </r>
    <r>
      <rPr>
        <b/>
        <sz val="11"/>
        <color rgb="FFFFFFFF"/>
        <rFont val="Phetsarath OT"/>
        <charset val="1"/>
      </rPr>
      <t>Orthers benefit</t>
    </r>
  </si>
  <si>
    <r>
      <rPr>
        <b/>
        <sz val="11"/>
        <color rgb="FFFFFFFF"/>
        <rFont val="Noto Sans CJK SC"/>
        <family val="2"/>
      </rPr>
      <t xml:space="preserve">ຍົກເວັ້ນ
</t>
    </r>
    <r>
      <rPr>
        <b/>
        <sz val="11"/>
        <color rgb="FFFFFFFF"/>
        <rFont val="Phetsarath OT"/>
        <charset val="1"/>
      </rPr>
      <t>Except 200,000 Kip</t>
    </r>
  </si>
  <si>
    <t>ສ່ວນທີ່ເສຍອາກອນ</t>
  </si>
  <si>
    <r>
      <rPr>
        <b/>
        <sz val="11"/>
        <color rgb="FFFFFFFF"/>
        <rFont val="Noto Sans CJK SC"/>
        <family val="2"/>
      </rPr>
      <t xml:space="preserve">ອາກອນຕ້ອງມອບ
</t>
    </r>
    <r>
      <rPr>
        <b/>
        <sz val="11"/>
        <color rgb="FFFFFFFF"/>
        <rFont val="Phetsarath OT"/>
        <charset val="1"/>
      </rPr>
      <t>Tax</t>
    </r>
  </si>
  <si>
    <r>
      <rPr>
        <b/>
        <sz val="11"/>
        <color rgb="FFFFFFFF"/>
        <rFont val="Noto Sans CJK SC"/>
        <family val="2"/>
      </rPr>
      <t xml:space="preserve">ລາຍຮັບສຸດທິ
</t>
    </r>
    <r>
      <rPr>
        <b/>
        <sz val="11"/>
        <color rgb="FFFFFFFF"/>
        <rFont val="Phetsarath OT"/>
        <charset val="1"/>
      </rPr>
      <t>Net Salary</t>
    </r>
  </si>
  <si>
    <t>(4+5)-6 = 7</t>
  </si>
  <si>
    <t>7 *5% = 8</t>
  </si>
  <si>
    <t>7-8=9</t>
  </si>
  <si>
    <r>
      <rPr>
        <b/>
        <sz val="11"/>
        <color rgb="FFFFFFFF"/>
        <rFont val="Noto Sans CJK SC"/>
        <family val="2"/>
      </rPr>
      <t xml:space="preserve">ລວມທັງໝົດ </t>
    </r>
    <r>
      <rPr>
        <b/>
        <sz val="11"/>
        <color rgb="FFFFFFFF"/>
        <rFont val="Times New Roman"/>
        <family val="1"/>
        <charset val="1"/>
      </rPr>
      <t>/ Grand Total</t>
    </r>
  </si>
  <si>
    <t>ຜູ້ອຳນວຍການ</t>
  </si>
  <si>
    <r>
      <rPr>
        <b/>
        <u/>
        <sz val="14"/>
        <color rgb="FF000000"/>
        <rFont val="Noto Sans CJK SC"/>
        <family val="2"/>
      </rPr>
      <t>ການເງິນ</t>
    </r>
    <r>
      <rPr>
        <b/>
        <u/>
        <sz val="14"/>
        <color rgb="FF000000"/>
        <rFont val="Phetsarath OT"/>
        <charset val="1"/>
      </rPr>
      <t>-</t>
    </r>
    <r>
      <rPr>
        <b/>
        <u/>
        <sz val="14"/>
        <color rgb="FF000000"/>
        <rFont val="Noto Sans CJK SC"/>
        <family val="2"/>
      </rPr>
      <t>ບັນຊີ</t>
    </r>
  </si>
  <si>
    <t>ຜູ້ສັງລວມ</t>
  </si>
  <si>
    <t>https://www.laotradeportal.gov.la/kcfinder/upload/files/AHTN%202017-Sect_XVII.pdf</t>
  </si>
  <si>
    <t>ໃບແຈ້ງເງິນເດືອນ</t>
  </si>
  <si>
    <r>
      <rPr>
        <b/>
        <sz val="16"/>
        <color rgb="FFFFFFFF"/>
        <rFont val="Noto Sans CJK SC"/>
        <family val="2"/>
      </rPr>
      <t xml:space="preserve">ປະຈຳເດືອນ ມິຖູນາ </t>
    </r>
    <r>
      <rPr>
        <b/>
        <sz val="16"/>
        <color rgb="FFFFFFFF"/>
        <rFont val="Phetsarath OT"/>
        <charset val="1"/>
      </rPr>
      <t>2026</t>
    </r>
  </si>
  <si>
    <t>ລາຍຊື່ພະນັກງານ</t>
  </si>
  <si>
    <t>ເງິນເດືອນພື້ນຖານ</t>
  </si>
  <si>
    <t>ຕຳແໜ່ງ</t>
  </si>
  <si>
    <t>ມື້ເຮັດວຽກ</t>
  </si>
  <si>
    <t>ລະຫັດ</t>
  </si>
  <si>
    <t>ຖືກຕໍ່ມື້</t>
  </si>
  <si>
    <t>ລາຍຮັບ</t>
  </si>
  <si>
    <r>
      <rPr>
        <sz val="12"/>
        <color rgb="FF000000"/>
        <rFont val="Noto Sans CJK SC"/>
        <family val="2"/>
      </rPr>
      <t>ພັກ</t>
    </r>
    <r>
      <rPr>
        <sz val="12"/>
        <color rgb="FF000000"/>
        <rFont val="Phetsarath OT"/>
        <charset val="1"/>
      </rPr>
      <t>3</t>
    </r>
    <r>
      <rPr>
        <sz val="12"/>
        <color rgb="FF000000"/>
        <rFont val="Noto Sans CJK SC"/>
        <family val="2"/>
      </rPr>
      <t>ມື້</t>
    </r>
  </si>
  <si>
    <t xml:space="preserve"> </t>
  </si>
  <si>
    <r>
      <rPr>
        <sz val="12"/>
        <color rgb="FF002060"/>
        <rFont val="Noto Sans CJK SC"/>
        <family val="2"/>
      </rPr>
      <t xml:space="preserve">ພາສີລາຍໄດ້ສ່ວນບຸກຄົນ </t>
    </r>
    <r>
      <rPr>
        <sz val="12"/>
        <color rgb="FF002060"/>
        <rFont val="Times New Roman"/>
        <family val="1"/>
        <charset val="1"/>
      </rPr>
      <t>5%</t>
    </r>
  </si>
  <si>
    <t xml:space="preserve">Requestor </t>
  </si>
  <si>
    <t xml:space="preserve">HR department </t>
  </si>
  <si>
    <t>No</t>
  </si>
  <si>
    <t>Employee ID</t>
  </si>
  <si>
    <t>Employee Name</t>
  </si>
  <si>
    <t>Phone Number</t>
  </si>
  <si>
    <t>Position</t>
  </si>
  <si>
    <t>Nationality</t>
  </si>
  <si>
    <t>Working Days</t>
  </si>
  <si>
    <t>Basic Salary</t>
  </si>
  <si>
    <t>Overtime Pay</t>
  </si>
  <si>
    <t>Night Shift Allowance</t>
  </si>
  <si>
    <t>Safety Allowance</t>
  </si>
  <si>
    <t>Cooperation Allowance</t>
  </si>
  <si>
    <t>Other Allowance</t>
  </si>
  <si>
    <t>Diligence Allowance</t>
  </si>
  <si>
    <t>5S Allowance</t>
  </si>
  <si>
    <t>Housing Allowance</t>
  </si>
  <si>
    <t>Production Target Allowance</t>
  </si>
  <si>
    <t>Position Allowance</t>
  </si>
  <si>
    <t>Fuel Allowance</t>
  </si>
  <si>
    <t>Total Earnings</t>
  </si>
  <si>
    <t>Social Security</t>
  </si>
  <si>
    <t>Late Penalty (1-10 mins)</t>
  </si>
  <si>
    <t>Late Penalty (10-30 mins)</t>
  </si>
  <si>
    <t>Late Penalty (30+ mins)</t>
  </si>
  <si>
    <t>Absence Deduction</t>
  </si>
  <si>
    <t>Total Deductions</t>
  </si>
  <si>
    <t>Taxable Income</t>
  </si>
  <si>
    <t>Tax Exemption (200,000 LAK)</t>
  </si>
  <si>
    <t>Income Tax (5%)</t>
  </si>
  <si>
    <t>Net Income</t>
  </si>
  <si>
    <t>Salary Advance Deduction</t>
  </si>
  <si>
    <t>Net Salary Paid</t>
  </si>
  <si>
    <t>Bank Account</t>
  </si>
  <si>
    <t>Salary</t>
  </si>
  <si>
    <t>Deduction</t>
  </si>
  <si>
    <t>Before Tax</t>
  </si>
  <si>
    <t>Other Benefits</t>
  </si>
  <si>
    <t>incomplete Month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</si>
</sst>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\-??_-;_-@_-"/>
    <numFmt numFmtId="165" formatCode="_(* #,##0.00_);_(* \(#,##0.00\);_(* \-??_);_(@_)"/>
    <numFmt numFmtId="166" formatCode="_(* #,##0_);_(* \(#,##0\);_(* \-??_);_(@_)"/>
    <numFmt numFmtId="167" formatCode="_(\$* #,##0.00_);_(\$* \(#,##0.00\);_(\$* \-??_);_(@_)"/>
    <numFmt numFmtId="168" formatCode="&quot;ແຮງງານຄົນລາວ ຈຳນວນ  &quot;##&quot; ຄົນ&quot;"/>
    <numFmt numFmtId="169" formatCode="&quot;ແຮງງານຄົນຕ່າງປະເທດ ຈຳນວນ  &quot;##&quot; ຄົນ&quot;"/>
    <numFmt numFmtId="170" formatCode="&quot;ສະຫວັນນະເຂດ ວັນທີ  &quot;dd/mm/yyyy"/>
  </numFmts>
  <fonts count="83">
    <font>
      <sz val="11"/>
      <color rgb="FF000000"/>
      <name val="Aptos Narrow"/>
      <family val="2"/>
      <charset val="1"/>
    </font>
    <font>
      <sz val="10"/>
      <name val="Arial"/>
      <family val="2"/>
      <charset val="1"/>
    </font>
    <font>
      <sz val="11"/>
      <color rgb="FF000000"/>
      <name val="Phetsarath OT"/>
      <charset val="1"/>
    </font>
    <font>
      <b/>
      <sz val="11"/>
      <color rgb="FF000000"/>
      <name val="Noto Sans CJK SC"/>
      <family val="2"/>
    </font>
    <font>
      <sz val="11"/>
      <color rgb="FF000000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Phetsarath OT"/>
      <charset val="1"/>
    </font>
    <font>
      <sz val="10"/>
      <color rgb="FF000000"/>
      <name val="Phetsarath OT"/>
      <charset val="1"/>
    </font>
    <font>
      <b/>
      <sz val="11"/>
      <color rgb="FFFFFFFF"/>
      <name val="Phetsarath OT"/>
      <charset val="1"/>
    </font>
    <font>
      <b/>
      <u/>
      <sz val="11"/>
      <color rgb="FFFFFFFF"/>
      <name val="Phetsarath OT"/>
      <charset val="1"/>
    </font>
    <font>
      <sz val="10"/>
      <color rgb="FF000000"/>
      <name val="Times New Roman"/>
      <family val="1"/>
      <charset val="1"/>
    </font>
    <font>
      <sz val="10"/>
      <color rgb="FF000000"/>
      <name val="Noto Sans CJK SC"/>
      <family val="2"/>
    </font>
    <font>
      <sz val="11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1"/>
      <color rgb="FFFFFFFF"/>
      <name val="Aptos Narrow"/>
      <family val="2"/>
      <charset val="1"/>
    </font>
    <font>
      <sz val="10"/>
      <color rgb="FFFF0000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color rgb="FF000000"/>
      <name val="Phetsarath OT"/>
      <charset val="1"/>
    </font>
    <font>
      <b/>
      <u/>
      <sz val="11"/>
      <color rgb="FF000000"/>
      <name val="Phetsarath OT"/>
      <charset val="1"/>
    </font>
    <font>
      <sz val="12"/>
      <color rgb="FF000000"/>
      <name val="Phetsarath OT"/>
      <charset val="1"/>
    </font>
    <font>
      <b/>
      <sz val="14"/>
      <color rgb="FF000000"/>
      <name val="Phetsarath OT"/>
      <charset val="1"/>
    </font>
    <font>
      <b/>
      <sz val="12"/>
      <color rgb="FF000000"/>
      <name val="Noto Sans CJK SC"/>
      <family val="2"/>
    </font>
    <font>
      <sz val="12"/>
      <color rgb="FF000000"/>
      <name val="Noto Sans CJK SC"/>
      <family val="2"/>
    </font>
    <font>
      <b/>
      <sz val="16"/>
      <color rgb="FF000000"/>
      <name val="Noto Sans CJK SC"/>
      <family val="2"/>
    </font>
    <font>
      <b/>
      <sz val="12"/>
      <color rgb="FF000000"/>
      <name val="Phetsarath OT"/>
      <charset val="1"/>
    </font>
    <font>
      <b/>
      <sz val="16"/>
      <color rgb="FF000000"/>
      <name val="Phetsarath OT"/>
      <charset val="1"/>
    </font>
    <font>
      <b/>
      <sz val="12"/>
      <color rgb="FFFFFFFF"/>
      <name val="Noto Sans CJK SC"/>
      <family val="2"/>
    </font>
    <font>
      <b/>
      <sz val="12"/>
      <color rgb="FFFFFFFF"/>
      <name val="Phetsarath OT"/>
      <charset val="1"/>
    </font>
    <font>
      <sz val="11"/>
      <name val="Aptos Narrow"/>
      <family val="2"/>
      <charset val="1"/>
    </font>
    <font>
      <sz val="11"/>
      <name val="Phetsarath OT"/>
      <charset val="1"/>
    </font>
    <font>
      <b/>
      <u/>
      <sz val="12"/>
      <color rgb="FFFFFFFF"/>
      <name val="Phetsarath OT"/>
      <charset val="1"/>
    </font>
    <font>
      <b/>
      <u/>
      <sz val="12"/>
      <color rgb="FFFFFFFF"/>
      <name val="Noto Sans CJK SC"/>
      <family val="2"/>
    </font>
    <font>
      <b/>
      <u/>
      <sz val="12"/>
      <color rgb="FFFFFFFF"/>
      <name val="Times New Roman"/>
      <family val="1"/>
      <charset val="1"/>
    </font>
    <font>
      <b/>
      <sz val="14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u/>
      <sz val="12"/>
      <color rgb="FFFFFFFF"/>
      <name val="Times New Roman"/>
      <family val="1"/>
      <charset val="222"/>
    </font>
    <font>
      <sz val="14"/>
      <color rgb="FFFFFFFF"/>
      <name val="Times New Roman"/>
      <family val="1"/>
      <charset val="1"/>
    </font>
    <font>
      <b/>
      <sz val="14"/>
      <color rgb="FFFFFFFF"/>
      <name val="Times New Roman"/>
      <family val="1"/>
      <charset val="1"/>
    </font>
    <font>
      <b/>
      <sz val="14"/>
      <color rgb="FFFFFFFF"/>
      <name val="Phetsarath OT"/>
      <charset val="1"/>
    </font>
    <font>
      <b/>
      <u/>
      <sz val="14"/>
      <color rgb="FFFFFFFF"/>
      <name val="Times New Roman"/>
      <family val="1"/>
      <charset val="1"/>
    </font>
    <font>
      <b/>
      <sz val="11"/>
      <color rgb="FF000000"/>
      <name val="Phetsarath"/>
      <charset val="1"/>
    </font>
    <font>
      <sz val="11"/>
      <color rgb="FF000000"/>
      <name val="Phetsarath"/>
      <charset val="1"/>
    </font>
    <font>
      <b/>
      <sz val="11"/>
      <name val="Times New Roman"/>
      <family val="1"/>
      <charset val="1"/>
    </font>
    <font>
      <b/>
      <u/>
      <sz val="14"/>
      <color rgb="FFFFFFFF"/>
      <name val="Noto Sans CJK SC"/>
      <family val="2"/>
    </font>
    <font>
      <b/>
      <u/>
      <sz val="14"/>
      <color rgb="FFFFFFFF"/>
      <name val="Phetsarath OT"/>
      <charset val="1"/>
    </font>
    <font>
      <b/>
      <sz val="11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1"/>
      <color rgb="FFFFFFFF"/>
      <name val="Times New Roman"/>
      <family val="1"/>
      <charset val="1"/>
    </font>
    <font>
      <sz val="11"/>
      <color rgb="FFFFFFFF"/>
      <name val="Times New Roman"/>
      <family val="1"/>
      <charset val="1"/>
    </font>
    <font>
      <b/>
      <u/>
      <sz val="11"/>
      <color rgb="FFFFFFFF"/>
      <name val="Times New Roman"/>
      <family val="1"/>
      <charset val="1"/>
    </font>
    <font>
      <b/>
      <u/>
      <sz val="14"/>
      <color rgb="FF000000"/>
      <name val="Noto Sans CJK SC"/>
      <family val="2"/>
    </font>
    <font>
      <b/>
      <u/>
      <sz val="14"/>
      <color rgb="FF000000"/>
      <name val="Phetsarath OT"/>
      <charset val="1"/>
    </font>
    <font>
      <sz val="14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sz val="12"/>
      <color rgb="FFFF0000"/>
      <name val="Phetsarath OT"/>
      <charset val="1"/>
    </font>
    <font>
      <b/>
      <u/>
      <sz val="16"/>
      <color rgb="FFC00000"/>
      <name val="Phetsarath OT"/>
      <charset val="1"/>
    </font>
    <font>
      <b/>
      <sz val="20"/>
      <color rgb="FFFFFFFF"/>
      <name val="Noto Sans CJK SC"/>
      <family val="2"/>
    </font>
    <font>
      <b/>
      <sz val="20"/>
      <color rgb="FFFFFFFF"/>
      <name val="Phetsarath OT"/>
      <charset val="1"/>
    </font>
    <font>
      <b/>
      <sz val="16"/>
      <color rgb="FFFFFFFF"/>
      <name val="Noto Sans CJK SC"/>
      <family val="2"/>
    </font>
    <font>
      <b/>
      <sz val="16"/>
      <color rgb="FFFFFFFF"/>
      <name val="Phetsarath OT"/>
      <charset val="1"/>
    </font>
    <font>
      <sz val="12"/>
      <color rgb="FF0070C0"/>
      <name val="Times New Roman"/>
      <family val="1"/>
      <charset val="1"/>
    </font>
    <font>
      <b/>
      <sz val="12"/>
      <color rgb="FF0070C0"/>
      <name val="Noto Sans CJK SC"/>
      <family val="2"/>
    </font>
    <font>
      <b/>
      <sz val="12"/>
      <color rgb="FF0070C0"/>
      <name val="Phetsarath OT"/>
      <charset val="1"/>
    </font>
    <font>
      <b/>
      <sz val="12"/>
      <color rgb="FF0070C0"/>
      <name val="Times New Roman"/>
      <family val="1"/>
      <charset val="1"/>
    </font>
    <font>
      <b/>
      <sz val="14"/>
      <color rgb="FF0070C0"/>
      <name val="Noto Sans CJK SC"/>
      <family val="2"/>
    </font>
    <font>
      <b/>
      <sz val="14"/>
      <color rgb="FF0070C0"/>
      <name val="Phetsarath OT"/>
      <charset val="1"/>
    </font>
    <font>
      <sz val="14"/>
      <color rgb="FF002060"/>
      <name val="Times New Roman"/>
      <family val="1"/>
      <charset val="1"/>
    </font>
    <font>
      <sz val="14"/>
      <color rgb="FF002060"/>
      <name val="Phetsarath OT"/>
      <charset val="1"/>
    </font>
    <font>
      <b/>
      <u val="double"/>
      <sz val="12"/>
      <color rgb="FF002060"/>
      <name val="Times New Roman"/>
      <family val="1"/>
      <charset val="1"/>
    </font>
    <font>
      <sz val="12"/>
      <color rgb="FF002060"/>
      <name val="Phetsarath OT"/>
      <charset val="1"/>
    </font>
    <font>
      <sz val="12"/>
      <color rgb="FF002060"/>
      <name val="Times New Roman"/>
      <family val="1"/>
      <charset val="1"/>
    </font>
    <font>
      <b/>
      <sz val="12"/>
      <color rgb="FF002060"/>
      <name val="Noto Sans CJK SC"/>
      <family val="2"/>
    </font>
    <font>
      <b/>
      <sz val="12"/>
      <color rgb="FF002060"/>
      <name val="Phetsarath OT"/>
      <charset val="1"/>
    </font>
    <font>
      <sz val="12"/>
      <color rgb="FF002060"/>
      <name val="Noto Sans CJK SC"/>
      <family val="2"/>
    </font>
    <font>
      <b/>
      <u/>
      <sz val="14"/>
      <color rgb="FF002060"/>
      <name val="Times New Roman"/>
      <family val="1"/>
      <charset val="1"/>
    </font>
    <font>
      <b/>
      <sz val="12"/>
      <color rgb="FF002060"/>
      <name val="Times New Roman"/>
      <family val="1"/>
      <charset val="1"/>
    </font>
    <font>
      <b/>
      <u/>
      <sz val="12"/>
      <color rgb="FF002060"/>
      <name val="Noto Sans CJK SC"/>
      <family val="2"/>
    </font>
    <font>
      <sz val="12"/>
      <color rgb="FF0070C0"/>
      <name val="Phetsarath OT"/>
      <charset val="1"/>
    </font>
    <font>
      <sz val="16"/>
      <color rgb="FF000000"/>
      <name val="Times New Roman"/>
      <family val="1"/>
      <charset val="1"/>
    </font>
    <font>
      <b/>
      <sz val="16"/>
      <color rgb="FF0070C0"/>
      <name val="Times New Roman"/>
      <family val="1"/>
      <charset val="1"/>
    </font>
    <font>
      <sz val="16"/>
      <color rgb="FF0070C0"/>
      <name val="Times New Roman"/>
      <family val="1"/>
      <charset val="1"/>
    </font>
    <font>
      <sz val="11"/>
      <color rgb="FF000000"/>
      <name val="Aptos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A02B93"/>
        <bgColor rgb="FF993366"/>
      </patternFill>
    </fill>
    <fill>
      <patternFill patternType="solid">
        <fgColor rgb="FF4EA72E"/>
        <bgColor rgb="FF808000"/>
      </patternFill>
    </fill>
    <fill>
      <patternFill patternType="solid">
        <fgColor rgb="FF0F9ED5"/>
        <bgColor rgb="FF00B0F0"/>
      </patternFill>
    </fill>
    <fill>
      <patternFill patternType="solid">
        <fgColor rgb="FF4E95D9"/>
        <bgColor rgb="FF46B1E1"/>
      </patternFill>
    </fill>
    <fill>
      <patternFill patternType="solid">
        <fgColor rgb="FFB4E5A2"/>
        <bgColor rgb="FFC1E5F5"/>
      </patternFill>
    </fill>
    <fill>
      <patternFill patternType="solid">
        <fgColor rgb="FFFF0000"/>
        <bgColor rgb="FFC00000"/>
      </patternFill>
    </fill>
    <fill>
      <patternFill patternType="solid">
        <fgColor rgb="FF156082"/>
        <bgColor rgb="FF0070C0"/>
      </patternFill>
    </fill>
    <fill>
      <patternFill patternType="solid">
        <fgColor rgb="FFFFFFFF"/>
        <bgColor rgb="FFFBE3D6"/>
      </patternFill>
    </fill>
    <fill>
      <patternFill patternType="solid">
        <fgColor rgb="FFD86ECC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F9ED5"/>
      </patternFill>
    </fill>
    <fill>
      <patternFill patternType="solid">
        <fgColor rgb="FFF6C6AD"/>
        <bgColor rgb="FFFFC7CE"/>
      </patternFill>
    </fill>
    <fill>
      <patternFill patternType="solid">
        <fgColor rgb="FF83CBEB"/>
        <bgColor rgb="FF46B1E1"/>
      </patternFill>
    </fill>
    <fill>
      <patternFill patternType="solid">
        <fgColor rgb="FFFBE3D6"/>
        <bgColor rgb="FFFFC7CE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46B1E1"/>
      </top>
      <bottom/>
      <diagonal/>
    </border>
    <border>
      <left/>
      <right/>
      <top style="thin">
        <color rgb="FF46B1E1"/>
      </top>
      <bottom/>
      <diagonal/>
    </border>
    <border>
      <left/>
      <right style="thin">
        <color rgb="FF46B1E1"/>
      </right>
      <top style="thin">
        <color rgb="FF46B1E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46B1E1"/>
      </top>
      <bottom style="thin">
        <color rgb="FF46B1E1"/>
      </bottom>
      <diagonal/>
    </border>
    <border>
      <left/>
      <right/>
      <top style="thin">
        <color rgb="FF46B1E1"/>
      </top>
      <bottom style="thin">
        <color rgb="FF46B1E1"/>
      </bottom>
      <diagonal/>
    </border>
    <border>
      <left/>
      <right style="thin">
        <color rgb="FF46B1E1"/>
      </right>
      <top style="thin">
        <color rgb="FF46B1E1"/>
      </top>
      <bottom style="thin">
        <color rgb="FF46B1E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1">
    <xf numFmtId="0" fontId="0" fillId="0" borderId="0"/>
    <xf numFmtId="165" fontId="82" fillId="0" borderId="0" applyFill="0" applyBorder="0" applyProtection="0"/>
    <xf numFmtId="167" fontId="82" fillId="0" borderId="0" applyFill="0" applyBorder="0" applyProtection="0"/>
    <xf numFmtId="9" fontId="82" fillId="0" borderId="0" applyFill="0" applyBorder="0" applyProtection="0"/>
    <xf numFmtId="0" fontId="54" fillId="0" borderId="0" applyFill="0" applyBorder="0" applyProtection="0"/>
    <xf numFmtId="164" fontId="82" fillId="0" borderId="0" applyFill="0" applyBorder="0" applyProtection="0"/>
    <xf numFmtId="0" fontId="1" fillId="0" borderId="0"/>
    <xf numFmtId="0" fontId="82" fillId="0" borderId="0"/>
    <xf numFmtId="0" fontId="82" fillId="0" borderId="0">
      <alignment vertical="center"/>
    </xf>
    <xf numFmtId="0" fontId="14" fillId="2" borderId="0" applyBorder="0" applyProtection="0"/>
    <xf numFmtId="0" fontId="14" fillId="3" borderId="0" applyBorder="0" applyProtection="0"/>
  </cellStyleXfs>
  <cellXfs count="359">
    <xf numFmtId="0" fontId="0" fillId="0" borderId="0" xfId="0"/>
    <xf numFmtId="0" fontId="61" fillId="9" borderId="0" xfId="0" applyFont="1" applyFill="1" applyAlignment="1">
      <alignment horizontal="center" vertical="center"/>
    </xf>
    <xf numFmtId="0" fontId="21" fillId="0" borderId="0" xfId="7" applyFont="1" applyAlignment="1">
      <alignment horizontal="center" vertic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166" fontId="2" fillId="0" borderId="0" xfId="1" applyNumberFormat="1" applyFont="1" applyFill="1" applyBorder="1" applyProtection="1"/>
    <xf numFmtId="165" fontId="2" fillId="0" borderId="0" xfId="1" applyFont="1" applyFill="1" applyBorder="1" applyProtection="1"/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166" fontId="6" fillId="4" borderId="1" xfId="1" applyNumberFormat="1" applyFont="1" applyFill="1" applyBorder="1" applyAlignment="1" applyProtection="1">
      <alignment horizontal="center" vertical="center" wrapText="1"/>
    </xf>
    <xf numFmtId="165" fontId="5" fillId="4" borderId="1" xfId="1" applyFont="1" applyFill="1" applyBorder="1" applyAlignment="1" applyProtection="1">
      <alignment horizontal="center" vertical="center" wrapText="1"/>
    </xf>
    <xf numFmtId="165" fontId="5" fillId="5" borderId="1" xfId="1" applyFont="1" applyFill="1" applyBorder="1" applyAlignment="1" applyProtection="1">
      <alignment horizontal="center" vertical="center" wrapText="1"/>
    </xf>
    <xf numFmtId="165" fontId="6" fillId="5" borderId="1" xfId="1" applyFont="1" applyFill="1" applyBorder="1" applyAlignment="1" applyProtection="1">
      <alignment horizontal="center" vertical="center" wrapText="1"/>
    </xf>
    <xf numFmtId="166" fontId="5" fillId="4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Font="1" applyFill="1" applyBorder="1" applyAlignment="1" applyProtection="1">
      <alignment horizontal="center" vertical="center" wrapText="1"/>
    </xf>
    <xf numFmtId="165" fontId="5" fillId="7" borderId="1" xfId="1" applyFont="1" applyFill="1" applyBorder="1" applyAlignment="1" applyProtection="1">
      <alignment horizontal="center" vertical="center" wrapText="1"/>
    </xf>
    <xf numFmtId="165" fontId="6" fillId="7" borderId="1" xfId="1" applyFont="1" applyFill="1" applyBorder="1" applyAlignment="1" applyProtection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/>
    <xf numFmtId="1" fontId="10" fillId="9" borderId="1" xfId="0" applyNumberFormat="1" applyFont="1" applyFill="1" applyBorder="1" applyAlignment="1">
      <alignment horizontal="left"/>
    </xf>
    <xf numFmtId="0" fontId="11" fillId="9" borderId="1" xfId="0" applyFont="1" applyFill="1" applyBorder="1"/>
    <xf numFmtId="166" fontId="10" fillId="9" borderId="1" xfId="1" applyNumberFormat="1" applyFont="1" applyFill="1" applyBorder="1" applyProtection="1"/>
    <xf numFmtId="166" fontId="12" fillId="9" borderId="1" xfId="1" applyNumberFormat="1" applyFont="1" applyFill="1" applyBorder="1" applyAlignment="1" applyProtection="1">
      <alignment vertical="center"/>
    </xf>
    <xf numFmtId="165" fontId="10" fillId="9" borderId="1" xfId="1" applyFont="1" applyFill="1" applyBorder="1" applyProtection="1"/>
    <xf numFmtId="165" fontId="13" fillId="9" borderId="1" xfId="1" applyFont="1" applyFill="1" applyBorder="1" applyProtection="1"/>
    <xf numFmtId="166" fontId="13" fillId="9" borderId="1" xfId="1" applyNumberFormat="1" applyFont="1" applyFill="1" applyBorder="1" applyProtection="1"/>
    <xf numFmtId="165" fontId="12" fillId="9" borderId="1" xfId="1" applyFont="1" applyFill="1" applyBorder="1" applyProtection="1"/>
    <xf numFmtId="0" fontId="2" fillId="9" borderId="2" xfId="0" applyFont="1" applyFill="1" applyBorder="1"/>
    <xf numFmtId="0" fontId="2" fillId="9" borderId="3" xfId="0" applyFont="1" applyFill="1" applyBorder="1"/>
    <xf numFmtId="166" fontId="2" fillId="9" borderId="3" xfId="0" applyNumberFormat="1" applyFont="1" applyFill="1" applyBorder="1"/>
    <xf numFmtId="165" fontId="2" fillId="9" borderId="3" xfId="0" applyNumberFormat="1" applyFont="1" applyFill="1" applyBorder="1"/>
    <xf numFmtId="165" fontId="2" fillId="9" borderId="4" xfId="0" applyNumberFormat="1" applyFont="1" applyFill="1" applyBorder="1"/>
    <xf numFmtId="0" fontId="2" fillId="9" borderId="0" xfId="0" applyFont="1" applyFill="1"/>
    <xf numFmtId="165" fontId="10" fillId="9" borderId="1" xfId="1" applyFont="1" applyFill="1" applyBorder="1" applyAlignment="1" applyProtection="1">
      <alignment vertical="center"/>
    </xf>
    <xf numFmtId="165" fontId="10" fillId="5" borderId="1" xfId="1" applyFont="1" applyFill="1" applyBorder="1" applyProtection="1"/>
    <xf numFmtId="165" fontId="14" fillId="2" borderId="1" xfId="9" applyNumberFormat="1" applyBorder="1" applyProtection="1"/>
    <xf numFmtId="165" fontId="10" fillId="8" borderId="1" xfId="1" applyFont="1" applyFill="1" applyBorder="1" applyProtection="1"/>
    <xf numFmtId="0" fontId="15" fillId="9" borderId="1" xfId="0" applyFont="1" applyFill="1" applyBorder="1"/>
    <xf numFmtId="165" fontId="10" fillId="10" borderId="1" xfId="1" applyFont="1" applyFill="1" applyBorder="1" applyProtection="1"/>
    <xf numFmtId="165" fontId="14" fillId="10" borderId="1" xfId="10" applyNumberFormat="1" applyFill="1" applyBorder="1" applyProtection="1"/>
    <xf numFmtId="165" fontId="14" fillId="9" borderId="1" xfId="9" applyNumberFormat="1" applyFill="1" applyBorder="1" applyProtection="1"/>
    <xf numFmtId="166" fontId="16" fillId="9" borderId="1" xfId="1" applyNumberFormat="1" applyFont="1" applyFill="1" applyBorder="1" applyAlignment="1" applyProtection="1">
      <alignment vertical="center"/>
    </xf>
    <xf numFmtId="0" fontId="2" fillId="9" borderId="4" xfId="0" applyFont="1" applyFill="1" applyBorder="1"/>
    <xf numFmtId="0" fontId="9" fillId="4" borderId="5" xfId="0" applyFont="1" applyFill="1" applyBorder="1" applyAlignment="1">
      <alignment vertical="center"/>
    </xf>
    <xf numFmtId="1" fontId="9" fillId="4" borderId="5" xfId="0" applyNumberFormat="1" applyFont="1" applyFill="1" applyBorder="1" applyAlignment="1">
      <alignment horizontal="left" vertical="center"/>
    </xf>
    <xf numFmtId="166" fontId="9" fillId="4" borderId="5" xfId="1" applyNumberFormat="1" applyFont="1" applyFill="1" applyBorder="1" applyAlignment="1" applyProtection="1">
      <alignment vertical="center"/>
    </xf>
    <xf numFmtId="165" fontId="9" fillId="4" borderId="5" xfId="1" applyFont="1" applyFill="1" applyBorder="1" applyAlignment="1" applyProtection="1">
      <alignment vertical="center"/>
    </xf>
    <xf numFmtId="0" fontId="2" fillId="0" borderId="6" xfId="0" applyFont="1" applyBorder="1"/>
    <xf numFmtId="0" fontId="2" fillId="0" borderId="7" xfId="0" applyFont="1" applyBorder="1"/>
    <xf numFmtId="166" fontId="2" fillId="0" borderId="7" xfId="0" applyNumberFormat="1" applyFont="1" applyBorder="1"/>
    <xf numFmtId="0" fontId="2" fillId="0" borderId="8" xfId="0" applyFont="1" applyBorder="1"/>
    <xf numFmtId="165" fontId="82" fillId="0" borderId="0" xfId="1" applyFill="1" applyBorder="1" applyProtection="1"/>
    <xf numFmtId="165" fontId="0" fillId="0" borderId="0" xfId="0" applyNumberFormat="1"/>
    <xf numFmtId="165" fontId="82" fillId="11" borderId="0" xfId="1" applyFill="1" applyBorder="1" applyProtection="1"/>
    <xf numFmtId="167" fontId="82" fillId="0" borderId="0" xfId="2" applyFill="1" applyBorder="1" applyProtection="1"/>
    <xf numFmtId="165" fontId="0" fillId="11" borderId="0" xfId="0" applyNumberFormat="1" applyFill="1"/>
    <xf numFmtId="167" fontId="0" fillId="0" borderId="0" xfId="0" applyNumberFormat="1"/>
    <xf numFmtId="165" fontId="17" fillId="0" borderId="0" xfId="1" applyFont="1" applyFill="1" applyBorder="1" applyProtection="1"/>
    <xf numFmtId="165" fontId="18" fillId="0" borderId="0" xfId="1" applyFont="1" applyFill="1" applyBorder="1" applyProtection="1"/>
    <xf numFmtId="0" fontId="2" fillId="0" borderId="0" xfId="0" applyFont="1" applyAlignment="1">
      <alignment horizontal="center" vertical="center"/>
    </xf>
    <xf numFmtId="0" fontId="19" fillId="9" borderId="0" xfId="0" applyFont="1" applyFill="1"/>
    <xf numFmtId="0" fontId="20" fillId="0" borderId="0" xfId="7" applyFont="1" applyAlignment="1">
      <alignment vertical="center"/>
    </xf>
    <xf numFmtId="0" fontId="20" fillId="0" borderId="0" xfId="7" applyFont="1" applyAlignment="1">
      <alignment horizontal="center" vertical="center"/>
    </xf>
    <xf numFmtId="165" fontId="20" fillId="0" borderId="0" xfId="1" applyFont="1" applyFill="1" applyBorder="1" applyAlignment="1" applyProtection="1">
      <alignment vertical="center"/>
    </xf>
    <xf numFmtId="0" fontId="22" fillId="0" borderId="0" xfId="0" applyFont="1"/>
    <xf numFmtId="0" fontId="2" fillId="0" borderId="0" xfId="7" applyFont="1" applyAlignment="1">
      <alignment vertical="center"/>
    </xf>
    <xf numFmtId="0" fontId="2" fillId="0" borderId="0" xfId="7" applyFont="1" applyAlignment="1">
      <alignment horizontal="center" vertical="center"/>
    </xf>
    <xf numFmtId="165" fontId="2" fillId="0" borderId="0" xfId="1" applyFont="1" applyFill="1" applyBorder="1" applyAlignment="1" applyProtection="1">
      <alignment vertical="center"/>
    </xf>
    <xf numFmtId="0" fontId="19" fillId="0" borderId="0" xfId="7" applyFont="1" applyAlignment="1">
      <alignment horizontal="center" vertical="center"/>
    </xf>
    <xf numFmtId="0" fontId="2" fillId="9" borderId="0" xfId="0" applyFont="1" applyFill="1" applyAlignment="1">
      <alignment horizontal="center"/>
    </xf>
    <xf numFmtId="165" fontId="2" fillId="9" borderId="0" xfId="1" applyFont="1" applyFill="1" applyBorder="1" applyProtection="1"/>
    <xf numFmtId="0" fontId="2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65" fontId="20" fillId="0" borderId="0" xfId="1" applyFont="1" applyFill="1" applyBorder="1" applyProtection="1"/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4" fillId="9" borderId="0" xfId="0" applyFont="1" applyFill="1"/>
    <xf numFmtId="0" fontId="23" fillId="0" borderId="0" xfId="0" applyFont="1" applyAlignment="1">
      <alignment horizontal="center" vertical="center"/>
    </xf>
    <xf numFmtId="0" fontId="26" fillId="12" borderId="9" xfId="7" applyFont="1" applyFill="1" applyBorder="1" applyAlignment="1">
      <alignment horizontal="center" vertical="center" wrapText="1"/>
    </xf>
    <xf numFmtId="0" fontId="26" fillId="12" borderId="9" xfId="7" applyFont="1" applyFill="1" applyBorder="1" applyAlignment="1">
      <alignment vertical="center" wrapText="1"/>
    </xf>
    <xf numFmtId="0" fontId="27" fillId="12" borderId="9" xfId="7" applyFont="1" applyFill="1" applyBorder="1" applyAlignment="1">
      <alignment horizontal="center" vertical="center" wrapText="1"/>
    </xf>
    <xf numFmtId="165" fontId="26" fillId="12" borderId="9" xfId="1" applyFont="1" applyFill="1" applyBorder="1" applyAlignment="1" applyProtection="1">
      <alignment horizontal="center" vertical="center" wrapText="1"/>
    </xf>
    <xf numFmtId="0" fontId="26" fillId="12" borderId="9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vertical="center"/>
    </xf>
    <xf numFmtId="0" fontId="16" fillId="0" borderId="10" xfId="8" applyFont="1" applyBorder="1" applyAlignment="1">
      <alignment horizontal="left" vertical="center"/>
    </xf>
    <xf numFmtId="0" fontId="29" fillId="0" borderId="10" xfId="8" applyFont="1" applyBorder="1" applyAlignment="1">
      <alignment horizontal="center" vertical="center"/>
    </xf>
    <xf numFmtId="0" fontId="16" fillId="0" borderId="10" xfId="8" applyFont="1" applyBorder="1" applyAlignment="1">
      <alignment horizontal="center" vertical="center"/>
    </xf>
    <xf numFmtId="165" fontId="16" fillId="9" borderId="10" xfId="1" applyFont="1" applyFill="1" applyBorder="1" applyAlignment="1" applyProtection="1">
      <alignment vertical="center"/>
    </xf>
    <xf numFmtId="165" fontId="16" fillId="9" borderId="11" xfId="1" applyFont="1" applyFill="1" applyBorder="1" applyAlignment="1" applyProtection="1">
      <alignment vertical="center"/>
    </xf>
    <xf numFmtId="166" fontId="16" fillId="9" borderId="10" xfId="0" applyNumberFormat="1" applyFont="1" applyFill="1" applyBorder="1" applyAlignment="1">
      <alignment vertical="center"/>
    </xf>
    <xf numFmtId="166" fontId="16" fillId="9" borderId="10" xfId="1" applyNumberFormat="1" applyFont="1" applyFill="1" applyBorder="1" applyAlignment="1" applyProtection="1">
      <alignment vertical="center"/>
    </xf>
    <xf numFmtId="0" fontId="16" fillId="9" borderId="10" xfId="0" applyFont="1" applyFill="1" applyBorder="1" applyAlignment="1">
      <alignment vertical="center"/>
    </xf>
    <xf numFmtId="0" fontId="16" fillId="9" borderId="12" xfId="0" applyFont="1" applyFill="1" applyBorder="1" applyAlignment="1">
      <alignment horizontal="center" vertical="center"/>
    </xf>
    <xf numFmtId="0" fontId="28" fillId="0" borderId="12" xfId="0" applyFont="1" applyBorder="1" applyAlignment="1">
      <alignment vertical="center"/>
    </xf>
    <xf numFmtId="0" fontId="16" fillId="0" borderId="12" xfId="8" applyFont="1" applyBorder="1" applyAlignment="1">
      <alignment horizontal="left" vertical="center"/>
    </xf>
    <xf numFmtId="0" fontId="29" fillId="0" borderId="12" xfId="8" applyFont="1" applyBorder="1" applyAlignment="1">
      <alignment horizontal="center" vertical="center"/>
    </xf>
    <xf numFmtId="0" fontId="16" fillId="0" borderId="12" xfId="8" applyFont="1" applyBorder="1" applyAlignment="1">
      <alignment horizontal="center" vertical="center"/>
    </xf>
    <xf numFmtId="165" fontId="16" fillId="9" borderId="12" xfId="1" applyFont="1" applyFill="1" applyBorder="1" applyAlignment="1" applyProtection="1">
      <alignment vertical="center"/>
    </xf>
    <xf numFmtId="166" fontId="16" fillId="9" borderId="12" xfId="1" applyNumberFormat="1" applyFont="1" applyFill="1" applyBorder="1" applyAlignment="1" applyProtection="1">
      <alignment vertical="center"/>
    </xf>
    <xf numFmtId="0" fontId="16" fillId="9" borderId="12" xfId="0" applyFont="1" applyFill="1" applyBorder="1" applyAlignment="1">
      <alignment vertical="center"/>
    </xf>
    <xf numFmtId="166" fontId="16" fillId="9" borderId="12" xfId="0" applyNumberFormat="1" applyFont="1" applyFill="1" applyBorder="1" applyAlignment="1">
      <alignment vertical="center"/>
    </xf>
    <xf numFmtId="0" fontId="30" fillId="12" borderId="13" xfId="0" applyFont="1" applyFill="1" applyBorder="1" applyAlignment="1">
      <alignment vertical="center"/>
    </xf>
    <xf numFmtId="0" fontId="31" fillId="12" borderId="13" xfId="0" applyFont="1" applyFill="1" applyBorder="1" applyAlignment="1">
      <alignment vertical="center"/>
    </xf>
    <xf numFmtId="0" fontId="32" fillId="12" borderId="14" xfId="0" applyFont="1" applyFill="1" applyBorder="1" applyAlignment="1">
      <alignment horizontal="center" vertical="center"/>
    </xf>
    <xf numFmtId="0" fontId="30" fillId="12" borderId="14" xfId="0" applyFont="1" applyFill="1" applyBorder="1" applyAlignment="1">
      <alignment horizontal="center" vertical="center"/>
    </xf>
    <xf numFmtId="166" fontId="32" fillId="12" borderId="14" xfId="1" applyNumberFormat="1" applyFont="1" applyFill="1" applyBorder="1" applyAlignment="1" applyProtection="1">
      <alignment horizontal="center" vertical="center"/>
    </xf>
    <xf numFmtId="166" fontId="2" fillId="0" borderId="0" xfId="0" applyNumberFormat="1" applyFont="1"/>
    <xf numFmtId="0" fontId="34" fillId="12" borderId="15" xfId="7" applyFont="1" applyFill="1" applyBorder="1" applyAlignment="1">
      <alignment horizontal="center" vertical="center" wrapText="1"/>
    </xf>
    <xf numFmtId="0" fontId="8" fillId="12" borderId="15" xfId="7" applyFont="1" applyFill="1" applyBorder="1" applyAlignment="1">
      <alignment horizontal="center" vertical="center" wrapText="1"/>
    </xf>
    <xf numFmtId="165" fontId="34" fillId="12" borderId="15" xfId="1" applyFont="1" applyFill="1" applyBorder="1" applyAlignment="1" applyProtection="1">
      <alignment horizontal="center" vertical="center" wrapText="1"/>
    </xf>
    <xf numFmtId="165" fontId="27" fillId="12" borderId="15" xfId="1" applyFont="1" applyFill="1" applyBorder="1" applyAlignment="1" applyProtection="1">
      <alignment horizontal="center" vertical="center" wrapText="1"/>
    </xf>
    <xf numFmtId="0" fontId="27" fillId="12" borderId="15" xfId="3" applyNumberFormat="1" applyFont="1" applyFill="1" applyBorder="1" applyAlignment="1" applyProtection="1">
      <alignment horizontal="center" vertical="center" wrapText="1"/>
    </xf>
    <xf numFmtId="165" fontId="26" fillId="12" borderId="15" xfId="1" applyFont="1" applyFill="1" applyBorder="1" applyAlignment="1" applyProtection="1">
      <alignment horizontal="center" vertical="center" wrapText="1"/>
    </xf>
    <xf numFmtId="0" fontId="26" fillId="12" borderId="15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30" fillId="12" borderId="12" xfId="0" applyFont="1" applyFill="1" applyBorder="1" applyAlignment="1">
      <alignment horizontal="center" vertical="center" wrapText="1"/>
    </xf>
    <xf numFmtId="0" fontId="35" fillId="12" borderId="12" xfId="0" applyFont="1" applyFill="1" applyBorder="1" applyAlignment="1">
      <alignment horizontal="left" vertical="center" wrapText="1"/>
    </xf>
    <xf numFmtId="0" fontId="30" fillId="12" borderId="12" xfId="0" applyFont="1" applyFill="1" applyBorder="1" applyAlignment="1">
      <alignment horizontal="left" vertical="center" wrapText="1"/>
    </xf>
    <xf numFmtId="0" fontId="35" fillId="12" borderId="12" xfId="0" applyFont="1" applyFill="1" applyBorder="1" applyAlignment="1">
      <alignment horizontal="center" vertical="center" wrapText="1"/>
    </xf>
    <xf numFmtId="165" fontId="35" fillId="12" borderId="12" xfId="1" applyFont="1" applyFill="1" applyBorder="1" applyAlignment="1" applyProtection="1">
      <alignment horizontal="left" vertical="center" wrapText="1"/>
    </xf>
    <xf numFmtId="165" fontId="30" fillId="12" borderId="12" xfId="1" applyFont="1" applyFill="1" applyBorder="1" applyAlignment="1" applyProtection="1">
      <alignment horizontal="center" vertical="center" wrapText="1"/>
    </xf>
    <xf numFmtId="0" fontId="12" fillId="9" borderId="12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12" fillId="9" borderId="12" xfId="8" applyFont="1" applyFill="1" applyBorder="1" applyAlignment="1">
      <alignment horizontal="left" vertical="center"/>
    </xf>
    <xf numFmtId="0" fontId="2" fillId="9" borderId="12" xfId="8" applyFont="1" applyFill="1" applyBorder="1" applyAlignment="1">
      <alignment horizontal="left" vertical="center"/>
    </xf>
    <xf numFmtId="0" fontId="12" fillId="9" borderId="12" xfId="8" applyFont="1" applyFill="1" applyBorder="1" applyAlignment="1">
      <alignment horizontal="center" vertical="center"/>
    </xf>
    <xf numFmtId="165" fontId="12" fillId="9" borderId="12" xfId="1" applyFont="1" applyFill="1" applyBorder="1" applyAlignment="1" applyProtection="1">
      <alignment horizontal="left" vertical="center"/>
    </xf>
    <xf numFmtId="165" fontId="12" fillId="9" borderId="12" xfId="1" applyFont="1" applyFill="1" applyBorder="1" applyAlignment="1" applyProtection="1">
      <alignment horizontal="center" vertical="center"/>
    </xf>
    <xf numFmtId="165" fontId="12" fillId="9" borderId="12" xfId="1" applyFont="1" applyFill="1" applyBorder="1" applyProtection="1"/>
    <xf numFmtId="0" fontId="12" fillId="9" borderId="12" xfId="1" applyNumberFormat="1" applyFont="1" applyFill="1" applyBorder="1" applyAlignment="1" applyProtection="1">
      <alignment horizontal="center" vertical="center"/>
    </xf>
    <xf numFmtId="0" fontId="0" fillId="9" borderId="0" xfId="0" applyFill="1"/>
    <xf numFmtId="0" fontId="36" fillId="12" borderId="16" xfId="0" applyFont="1" applyFill="1" applyBorder="1" applyAlignment="1">
      <alignment vertical="center"/>
    </xf>
    <xf numFmtId="0" fontId="37" fillId="12" borderId="17" xfId="0" applyFont="1" applyFill="1" applyBorder="1" applyAlignment="1">
      <alignment horizontal="left" vertical="center"/>
    </xf>
    <xf numFmtId="0" fontId="38" fillId="12" borderId="17" xfId="0" applyFont="1" applyFill="1" applyBorder="1" applyAlignment="1">
      <alignment horizontal="left" vertical="center"/>
    </xf>
    <xf numFmtId="0" fontId="37" fillId="12" borderId="17" xfId="0" applyFont="1" applyFill="1" applyBorder="1" applyAlignment="1">
      <alignment horizontal="center" vertical="center"/>
    </xf>
    <xf numFmtId="165" fontId="37" fillId="12" borderId="17" xfId="1" applyFont="1" applyFill="1" applyBorder="1" applyAlignment="1" applyProtection="1">
      <alignment horizontal="left" vertical="center"/>
    </xf>
    <xf numFmtId="165" fontId="39" fillId="12" borderId="17" xfId="1" applyFont="1" applyFill="1" applyBorder="1" applyAlignment="1" applyProtection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5" fontId="40" fillId="0" borderId="0" xfId="1" applyFont="1" applyFill="1" applyBorder="1" applyAlignment="1" applyProtection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41" fillId="0" borderId="0" xfId="0" applyFont="1"/>
    <xf numFmtId="0" fontId="41" fillId="9" borderId="0" xfId="0" applyFont="1" applyFill="1"/>
    <xf numFmtId="165" fontId="41" fillId="0" borderId="0" xfId="1" applyFont="1" applyFill="1" applyBorder="1" applyProtection="1"/>
    <xf numFmtId="0" fontId="41" fillId="0" borderId="0" xfId="0" applyFont="1" applyAlignment="1">
      <alignment horizontal="center"/>
    </xf>
    <xf numFmtId="165" fontId="41" fillId="0" borderId="0" xfId="0" applyNumberFormat="1" applyFont="1"/>
    <xf numFmtId="0" fontId="41" fillId="0" borderId="0" xfId="0" applyFont="1" applyAlignment="1">
      <alignment horizontal="left" vertical="center"/>
    </xf>
    <xf numFmtId="0" fontId="33" fillId="0" borderId="0" xfId="0" applyFont="1"/>
    <xf numFmtId="0" fontId="26" fillId="12" borderId="18" xfId="7" applyFont="1" applyFill="1" applyBorder="1" applyAlignment="1">
      <alignment horizontal="center" vertical="center" wrapText="1"/>
    </xf>
    <xf numFmtId="0" fontId="26" fillId="12" borderId="18" xfId="7" applyFont="1" applyFill="1" applyBorder="1" applyAlignment="1">
      <alignment vertical="center" wrapText="1"/>
    </xf>
    <xf numFmtId="0" fontId="26" fillId="12" borderId="18" xfId="0" applyFont="1" applyFill="1" applyBorder="1" applyAlignment="1">
      <alignment horizontal="center" vertical="center" wrapText="1"/>
    </xf>
    <xf numFmtId="0" fontId="27" fillId="12" borderId="18" xfId="0" applyFont="1" applyFill="1" applyBorder="1" applyAlignment="1">
      <alignment horizontal="center" vertical="center"/>
    </xf>
    <xf numFmtId="165" fontId="34" fillId="12" borderId="14" xfId="1" applyFont="1" applyFill="1" applyBorder="1" applyAlignment="1" applyProtection="1">
      <alignment horizontal="center" vertical="center" wrapText="1"/>
    </xf>
    <xf numFmtId="16" fontId="26" fillId="12" borderId="18" xfId="0" applyNumberFormat="1" applyFont="1" applyFill="1" applyBorder="1" applyAlignment="1">
      <alignment horizontal="center" vertical="center" wrapText="1"/>
    </xf>
    <xf numFmtId="165" fontId="26" fillId="12" borderId="18" xfId="1" applyFont="1" applyFill="1" applyBorder="1" applyAlignment="1" applyProtection="1">
      <alignment horizontal="center" vertical="center" wrapText="1"/>
    </xf>
    <xf numFmtId="0" fontId="34" fillId="12" borderId="14" xfId="0" applyFont="1" applyFill="1" applyBorder="1" applyAlignment="1">
      <alignment horizontal="center" vertical="center" wrapText="1"/>
    </xf>
    <xf numFmtId="0" fontId="35" fillId="12" borderId="14" xfId="0" applyFont="1" applyFill="1" applyBorder="1" applyAlignment="1">
      <alignment horizontal="left" vertical="center"/>
    </xf>
    <xf numFmtId="165" fontId="30" fillId="12" borderId="14" xfId="1" applyFont="1" applyFill="1" applyBorder="1" applyAlignment="1" applyProtection="1">
      <alignment horizontal="center" vertical="center"/>
    </xf>
    <xf numFmtId="0" fontId="30" fillId="12" borderId="14" xfId="1" applyNumberFormat="1" applyFont="1" applyFill="1" applyBorder="1" applyAlignment="1" applyProtection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6" fillId="0" borderId="0" xfId="0" applyFont="1"/>
    <xf numFmtId="0" fontId="16" fillId="9" borderId="12" xfId="8" applyFont="1" applyFill="1" applyBorder="1" applyAlignment="1">
      <alignment horizontal="left" vertical="center"/>
    </xf>
    <xf numFmtId="0" fontId="16" fillId="9" borderId="19" xfId="0" applyFont="1" applyFill="1" applyBorder="1"/>
    <xf numFmtId="165" fontId="29" fillId="0" borderId="19" xfId="1" applyFont="1" applyFill="1" applyBorder="1" applyAlignment="1" applyProtection="1">
      <alignment horizontal="left" vertical="center"/>
    </xf>
    <xf numFmtId="0" fontId="29" fillId="0" borderId="19" xfId="1" applyNumberFormat="1" applyFont="1" applyFill="1" applyBorder="1" applyAlignment="1" applyProtection="1">
      <alignment horizontal="center" vertical="center"/>
    </xf>
    <xf numFmtId="0" fontId="16" fillId="0" borderId="19" xfId="1" applyNumberFormat="1" applyFont="1" applyFill="1" applyBorder="1" applyAlignment="1" applyProtection="1">
      <alignment horizontal="center" vertical="center"/>
    </xf>
    <xf numFmtId="165" fontId="16" fillId="0" borderId="19" xfId="1" applyFont="1" applyFill="1" applyBorder="1" applyAlignment="1" applyProtection="1">
      <alignment horizontal="center" vertical="center"/>
    </xf>
    <xf numFmtId="166" fontId="16" fillId="6" borderId="19" xfId="1" applyNumberFormat="1" applyFont="1" applyFill="1" applyBorder="1" applyAlignment="1" applyProtection="1">
      <alignment horizontal="center"/>
    </xf>
    <xf numFmtId="0" fontId="16" fillId="6" borderId="19" xfId="0" applyFont="1" applyFill="1" applyBorder="1" applyAlignment="1">
      <alignment horizontal="center"/>
    </xf>
    <xf numFmtId="165" fontId="42" fillId="6" borderId="19" xfId="0" applyNumberFormat="1" applyFont="1" applyFill="1" applyBorder="1"/>
    <xf numFmtId="166" fontId="16" fillId="13" borderId="19" xfId="1" applyNumberFormat="1" applyFont="1" applyFill="1" applyBorder="1" applyAlignment="1" applyProtection="1">
      <alignment horizontal="center"/>
    </xf>
    <xf numFmtId="0" fontId="16" fillId="13" borderId="19" xfId="0" applyFont="1" applyFill="1" applyBorder="1" applyAlignment="1">
      <alignment horizontal="center"/>
    </xf>
    <xf numFmtId="165" fontId="42" fillId="13" borderId="19" xfId="1" applyFont="1" applyFill="1" applyBorder="1" applyProtection="1"/>
    <xf numFmtId="165" fontId="16" fillId="6" borderId="19" xfId="1" applyFont="1" applyFill="1" applyBorder="1" applyAlignment="1" applyProtection="1">
      <alignment horizontal="center"/>
    </xf>
    <xf numFmtId="166" fontId="42" fillId="6" borderId="19" xfId="0" applyNumberFormat="1" applyFont="1" applyFill="1" applyBorder="1"/>
    <xf numFmtId="165" fontId="16" fillId="13" borderId="19" xfId="1" applyFont="1" applyFill="1" applyBorder="1" applyProtection="1"/>
    <xf numFmtId="165" fontId="42" fillId="13" borderId="19" xfId="0" applyNumberFormat="1" applyFont="1" applyFill="1" applyBorder="1"/>
    <xf numFmtId="165" fontId="16" fillId="6" borderId="19" xfId="0" applyNumberFormat="1" applyFont="1" applyFill="1" applyBorder="1"/>
    <xf numFmtId="0" fontId="16" fillId="0" borderId="19" xfId="0" applyFont="1" applyBorder="1"/>
    <xf numFmtId="0" fontId="16" fillId="0" borderId="19" xfId="0" applyFont="1" applyBorder="1" applyAlignment="1">
      <alignment vertical="center"/>
    </xf>
    <xf numFmtId="0" fontId="16" fillId="0" borderId="12" xfId="0" applyFont="1" applyBorder="1" applyAlignment="1">
      <alignment horizontal="center"/>
    </xf>
    <xf numFmtId="0" fontId="16" fillId="9" borderId="12" xfId="0" applyFont="1" applyFill="1" applyBorder="1"/>
    <xf numFmtId="165" fontId="29" fillId="9" borderId="12" xfId="1" applyFont="1" applyFill="1" applyBorder="1" applyAlignment="1" applyProtection="1">
      <alignment horizontal="left" vertical="center"/>
    </xf>
    <xf numFmtId="0" fontId="29" fillId="9" borderId="12" xfId="1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</xf>
    <xf numFmtId="165" fontId="16" fillId="9" borderId="19" xfId="1" applyFont="1" applyFill="1" applyBorder="1" applyAlignment="1" applyProtection="1">
      <alignment horizontal="center" vertical="center"/>
    </xf>
    <xf numFmtId="166" fontId="16" fillId="6" borderId="12" xfId="1" applyNumberFormat="1" applyFont="1" applyFill="1" applyBorder="1" applyAlignment="1" applyProtection="1">
      <alignment horizontal="center"/>
    </xf>
    <xf numFmtId="0" fontId="16" fillId="0" borderId="12" xfId="0" applyFont="1" applyBorder="1"/>
    <xf numFmtId="0" fontId="16" fillId="0" borderId="12" xfId="0" applyFont="1" applyBorder="1" applyAlignment="1">
      <alignment vertical="center"/>
    </xf>
    <xf numFmtId="0" fontId="12" fillId="0" borderId="12" xfId="0" applyFont="1" applyBorder="1" applyAlignment="1">
      <alignment horizontal="center"/>
    </xf>
    <xf numFmtId="0" fontId="12" fillId="0" borderId="12" xfId="0" applyFont="1" applyBorder="1" applyAlignment="1">
      <alignment vertical="center"/>
    </xf>
    <xf numFmtId="0" fontId="12" fillId="9" borderId="12" xfId="0" applyFont="1" applyFill="1" applyBorder="1"/>
    <xf numFmtId="165" fontId="2" fillId="9" borderId="12" xfId="1" applyFont="1" applyFill="1" applyBorder="1" applyAlignment="1" applyProtection="1">
      <alignment horizontal="left" vertical="center"/>
    </xf>
    <xf numFmtId="0" fontId="2" fillId="9" borderId="12" xfId="1" applyNumberFormat="1" applyFont="1" applyFill="1" applyBorder="1" applyAlignment="1" applyProtection="1">
      <alignment horizontal="center" vertical="center"/>
    </xf>
    <xf numFmtId="0" fontId="12" fillId="9" borderId="19" xfId="1" applyNumberFormat="1" applyFont="1" applyFill="1" applyBorder="1" applyAlignment="1" applyProtection="1">
      <alignment horizontal="center" vertical="center"/>
    </xf>
    <xf numFmtId="165" fontId="12" fillId="9" borderId="19" xfId="1" applyFont="1" applyFill="1" applyBorder="1" applyAlignment="1" applyProtection="1">
      <alignment horizontal="center" vertical="center"/>
    </xf>
    <xf numFmtId="166" fontId="12" fillId="6" borderId="12" xfId="1" applyNumberFormat="1" applyFont="1" applyFill="1" applyBorder="1" applyAlignment="1" applyProtection="1">
      <alignment horizontal="center"/>
    </xf>
    <xf numFmtId="166" fontId="12" fillId="13" borderId="19" xfId="1" applyNumberFormat="1" applyFont="1" applyFill="1" applyBorder="1" applyAlignment="1" applyProtection="1">
      <alignment horizontal="center"/>
    </xf>
    <xf numFmtId="0" fontId="12" fillId="0" borderId="12" xfId="0" applyFont="1" applyBorder="1"/>
    <xf numFmtId="0" fontId="43" fillId="12" borderId="13" xfId="0" applyFont="1" applyFill="1" applyBorder="1" applyAlignment="1">
      <alignment vertical="center"/>
    </xf>
    <xf numFmtId="0" fontId="44" fillId="12" borderId="20" xfId="0" applyFont="1" applyFill="1" applyBorder="1" applyAlignment="1">
      <alignment vertical="center"/>
    </xf>
    <xf numFmtId="0" fontId="39" fillId="12" borderId="14" xfId="0" applyFont="1" applyFill="1" applyBorder="1" applyAlignment="1">
      <alignment horizontal="center" vertical="center"/>
    </xf>
    <xf numFmtId="0" fontId="44" fillId="12" borderId="14" xfId="0" applyFont="1" applyFill="1" applyBorder="1" applyAlignment="1">
      <alignment horizontal="center" vertical="center"/>
    </xf>
    <xf numFmtId="166" fontId="39" fillId="12" borderId="14" xfId="1" applyNumberFormat="1" applyFont="1" applyFill="1" applyBorder="1" applyAlignment="1" applyProtection="1">
      <alignment horizontal="center" vertical="center"/>
    </xf>
    <xf numFmtId="164" fontId="82" fillId="0" borderId="0" xfId="5" applyFill="1" applyBorder="1" applyProtection="1"/>
    <xf numFmtId="0" fontId="82" fillId="0" borderId="0" xfId="7"/>
    <xf numFmtId="164" fontId="82" fillId="0" borderId="0" xfId="5" applyFill="1" applyBorder="1" applyAlignment="1" applyProtection="1">
      <alignment vertical="center"/>
    </xf>
    <xf numFmtId="0" fontId="82" fillId="0" borderId="0" xfId="7" applyAlignment="1">
      <alignment vertical="center"/>
    </xf>
    <xf numFmtId="0" fontId="17" fillId="0" borderId="0" xfId="7" applyFont="1" applyAlignment="1">
      <alignment horizontal="center" vertical="center"/>
    </xf>
    <xf numFmtId="0" fontId="33" fillId="0" borderId="0" xfId="7" applyFont="1" applyAlignment="1">
      <alignment horizontal="center" vertical="center"/>
    </xf>
    <xf numFmtId="0" fontId="17" fillId="0" borderId="0" xfId="7" applyFont="1" applyAlignment="1">
      <alignment vertical="center"/>
    </xf>
    <xf numFmtId="0" fontId="34" fillId="4" borderId="14" xfId="7" applyFont="1" applyFill="1" applyBorder="1" applyAlignment="1">
      <alignment horizontal="center" vertical="center" wrapText="1"/>
    </xf>
    <xf numFmtId="166" fontId="34" fillId="4" borderId="14" xfId="7" applyNumberFormat="1" applyFont="1" applyFill="1" applyBorder="1" applyAlignment="1">
      <alignment horizontal="center" vertical="center" wrapText="1"/>
    </xf>
    <xf numFmtId="166" fontId="34" fillId="4" borderId="14" xfId="7" applyNumberFormat="1" applyFont="1" applyFill="1" applyBorder="1" applyAlignment="1">
      <alignment horizontal="center" vertical="center"/>
    </xf>
    <xf numFmtId="165" fontId="34" fillId="4" borderId="14" xfId="1" applyFont="1" applyFill="1" applyBorder="1" applyAlignment="1" applyProtection="1">
      <alignment horizontal="center" vertical="center" wrapText="1"/>
    </xf>
    <xf numFmtId="0" fontId="12" fillId="0" borderId="14" xfId="7" applyFont="1" applyBorder="1" applyAlignment="1">
      <alignment horizontal="center"/>
    </xf>
    <xf numFmtId="0" fontId="45" fillId="9" borderId="14" xfId="7" applyFont="1" applyFill="1" applyBorder="1" applyAlignment="1">
      <alignment horizontal="center" vertical="center"/>
    </xf>
    <xf numFmtId="166" fontId="45" fillId="0" borderId="14" xfId="7" applyNumberFormat="1" applyFont="1" applyBorder="1" applyAlignment="1">
      <alignment horizontal="center" vertical="center"/>
    </xf>
    <xf numFmtId="165" fontId="45" fillId="0" borderId="14" xfId="1" applyFont="1" applyFill="1" applyBorder="1" applyAlignment="1" applyProtection="1">
      <alignment horizontal="center" vertical="center"/>
    </xf>
    <xf numFmtId="49" fontId="45" fillId="0" borderId="14" xfId="7" applyNumberFormat="1" applyFont="1" applyBorder="1" applyAlignment="1">
      <alignment horizontal="center" vertical="center"/>
    </xf>
    <xf numFmtId="0" fontId="19" fillId="14" borderId="14" xfId="7" applyFont="1" applyFill="1" applyBorder="1" applyAlignment="1">
      <alignment horizontal="center"/>
    </xf>
    <xf numFmtId="0" fontId="82" fillId="14" borderId="21" xfId="7" applyFill="1" applyBorder="1"/>
    <xf numFmtId="168" fontId="24" fillId="14" borderId="13" xfId="7" applyNumberFormat="1" applyFont="1" applyFill="1" applyBorder="1" applyAlignment="1">
      <alignment horizontal="left" vertical="center"/>
    </xf>
    <xf numFmtId="168" fontId="46" fillId="14" borderId="14" xfId="7" applyNumberFormat="1" applyFont="1" applyFill="1" applyBorder="1" applyAlignment="1">
      <alignment horizontal="center" vertical="center"/>
    </xf>
    <xf numFmtId="166" fontId="46" fillId="14" borderId="14" xfId="1" applyNumberFormat="1" applyFont="1" applyFill="1" applyBorder="1" applyAlignment="1" applyProtection="1">
      <alignment vertical="center"/>
    </xf>
    <xf numFmtId="0" fontId="12" fillId="0" borderId="19" xfId="7" applyFont="1" applyBorder="1" applyAlignment="1">
      <alignment horizontal="center"/>
    </xf>
    <xf numFmtId="0" fontId="12" fillId="0" borderId="19" xfId="8" applyFont="1" applyBorder="1" applyAlignment="1">
      <alignment horizontal="left" vertical="center"/>
    </xf>
    <xf numFmtId="0" fontId="12" fillId="0" borderId="19" xfId="7" applyFont="1" applyBorder="1" applyAlignment="1">
      <alignment horizontal="left" vertical="center"/>
    </xf>
    <xf numFmtId="166" fontId="12" fillId="0" borderId="19" xfId="7" applyNumberFormat="1" applyFont="1" applyBorder="1" applyAlignment="1">
      <alignment horizontal="center" vertical="center"/>
    </xf>
    <xf numFmtId="165" fontId="12" fillId="15" borderId="19" xfId="1" applyFont="1" applyFill="1" applyBorder="1" applyAlignment="1" applyProtection="1">
      <alignment vertical="center"/>
    </xf>
    <xf numFmtId="166" fontId="12" fillId="9" borderId="19" xfId="7" applyNumberFormat="1" applyFont="1" applyFill="1" applyBorder="1" applyAlignment="1">
      <alignment horizontal="center" vertical="center"/>
    </xf>
    <xf numFmtId="0" fontId="12" fillId="0" borderId="12" xfId="7" applyFont="1" applyBorder="1" applyAlignment="1">
      <alignment horizontal="center"/>
    </xf>
    <xf numFmtId="0" fontId="12" fillId="0" borderId="12" xfId="7" applyFont="1" applyBorder="1" applyAlignment="1">
      <alignment horizontal="left" vertical="center"/>
    </xf>
    <xf numFmtId="0" fontId="12" fillId="0" borderId="22" xfId="7" applyFont="1" applyBorder="1" applyAlignment="1">
      <alignment horizontal="center"/>
    </xf>
    <xf numFmtId="0" fontId="12" fillId="9" borderId="22" xfId="8" applyFont="1" applyFill="1" applyBorder="1" applyAlignment="1">
      <alignment horizontal="left" vertical="center"/>
    </xf>
    <xf numFmtId="0" fontId="12" fillId="0" borderId="22" xfId="8" applyFont="1" applyBorder="1" applyAlignment="1">
      <alignment horizontal="left" vertical="center"/>
    </xf>
    <xf numFmtId="0" fontId="12" fillId="0" borderId="22" xfId="7" applyFont="1" applyBorder="1" applyAlignment="1">
      <alignment horizontal="left" vertical="center"/>
    </xf>
    <xf numFmtId="0" fontId="47" fillId="0" borderId="23" xfId="7" applyFont="1" applyBorder="1" applyAlignment="1">
      <alignment horizontal="center"/>
    </xf>
    <xf numFmtId="0" fontId="47" fillId="9" borderId="23" xfId="8" applyFont="1" applyFill="1" applyBorder="1" applyAlignment="1">
      <alignment horizontal="left" vertical="center"/>
    </xf>
    <xf numFmtId="0" fontId="12" fillId="0" borderId="23" xfId="8" applyFont="1" applyBorder="1" applyAlignment="1">
      <alignment horizontal="left" vertical="center"/>
    </xf>
    <xf numFmtId="0" fontId="47" fillId="0" borderId="23" xfId="7" applyFont="1" applyBorder="1" applyAlignment="1">
      <alignment horizontal="left" vertical="center"/>
    </xf>
    <xf numFmtId="166" fontId="47" fillId="0" borderId="23" xfId="7" applyNumberFormat="1" applyFont="1" applyBorder="1" applyAlignment="1">
      <alignment horizontal="center" vertical="center"/>
    </xf>
    <xf numFmtId="166" fontId="47" fillId="15" borderId="23" xfId="7" applyNumberFormat="1" applyFont="1" applyFill="1" applyBorder="1" applyAlignment="1">
      <alignment horizontal="center" vertical="center"/>
    </xf>
    <xf numFmtId="0" fontId="19" fillId="14" borderId="13" xfId="7" applyFont="1" applyFill="1" applyBorder="1" applyAlignment="1">
      <alignment horizontal="center"/>
    </xf>
    <xf numFmtId="0" fontId="82" fillId="14" borderId="14" xfId="7" applyFill="1" applyBorder="1"/>
    <xf numFmtId="169" fontId="24" fillId="14" borderId="21" xfId="7" applyNumberFormat="1" applyFont="1" applyFill="1" applyBorder="1" applyAlignment="1">
      <alignment horizontal="left" vertical="center"/>
    </xf>
    <xf numFmtId="169" fontId="46" fillId="14" borderId="14" xfId="7" applyNumberFormat="1" applyFont="1" applyFill="1" applyBorder="1" applyAlignment="1">
      <alignment horizontal="center" vertical="center"/>
    </xf>
    <xf numFmtId="0" fontId="12" fillId="0" borderId="9" xfId="7" applyFont="1" applyBorder="1" applyAlignment="1">
      <alignment horizontal="center" vertical="center"/>
    </xf>
    <xf numFmtId="0" fontId="12" fillId="9" borderId="9" xfId="8" applyFont="1" applyFill="1" applyBorder="1" applyAlignment="1">
      <alignment horizontal="center" vertical="center"/>
    </xf>
    <xf numFmtId="0" fontId="12" fillId="0" borderId="9" xfId="8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166" fontId="12" fillId="0" borderId="9" xfId="7" applyNumberFormat="1" applyFont="1" applyBorder="1" applyAlignment="1">
      <alignment horizontal="center" vertical="center"/>
    </xf>
    <xf numFmtId="0" fontId="82" fillId="0" borderId="24" xfId="7" applyBorder="1" applyAlignment="1">
      <alignment horizontal="center" vertical="center"/>
    </xf>
    <xf numFmtId="0" fontId="12" fillId="9" borderId="11" xfId="8" applyFont="1" applyFill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12" fillId="0" borderId="11" xfId="7" applyFont="1" applyBorder="1" applyAlignment="1">
      <alignment horizontal="left" vertical="center"/>
    </xf>
    <xf numFmtId="166" fontId="12" fillId="0" borderId="11" xfId="7" applyNumberFormat="1" applyFont="1" applyBorder="1" applyAlignment="1">
      <alignment horizontal="center" vertical="center"/>
    </xf>
    <xf numFmtId="0" fontId="82" fillId="0" borderId="25" xfId="7" applyBorder="1" applyAlignment="1">
      <alignment horizontal="center" vertical="center"/>
    </xf>
    <xf numFmtId="0" fontId="12" fillId="9" borderId="26" xfId="8" applyFont="1" applyFill="1" applyBorder="1" applyAlignment="1">
      <alignment horizontal="center" vertical="center"/>
    </xf>
    <xf numFmtId="0" fontId="12" fillId="0" borderId="26" xfId="7" applyFont="1" applyBorder="1" applyAlignment="1">
      <alignment horizontal="left" vertical="center"/>
    </xf>
    <xf numFmtId="0" fontId="12" fillId="0" borderId="23" xfId="7" applyFont="1" applyBorder="1" applyAlignment="1">
      <alignment horizontal="center" vertical="center"/>
    </xf>
    <xf numFmtId="0" fontId="12" fillId="9" borderId="23" xfId="8" applyFont="1" applyFill="1" applyBorder="1" applyAlignment="1">
      <alignment horizontal="center" vertical="center"/>
    </xf>
    <xf numFmtId="166" fontId="12" fillId="0" borderId="27" xfId="7" applyNumberFormat="1" applyFont="1" applyBorder="1" applyAlignment="1">
      <alignment horizontal="center" vertical="center"/>
    </xf>
    <xf numFmtId="165" fontId="12" fillId="15" borderId="11" xfId="1" applyFont="1" applyFill="1" applyBorder="1" applyAlignment="1" applyProtection="1">
      <alignment vertical="center"/>
    </xf>
    <xf numFmtId="0" fontId="8" fillId="12" borderId="13" xfId="7" applyFont="1" applyFill="1" applyBorder="1" applyAlignment="1">
      <alignment vertical="center"/>
    </xf>
    <xf numFmtId="0" fontId="49" fillId="12" borderId="20" xfId="8" applyFont="1" applyFill="1" applyBorder="1" applyAlignment="1">
      <alignment horizontal="center" vertical="center"/>
    </xf>
    <xf numFmtId="166" fontId="50" fillId="12" borderId="20" xfId="5" applyNumberFormat="1" applyFont="1" applyFill="1" applyBorder="1" applyAlignment="1" applyProtection="1">
      <alignment vertical="center"/>
    </xf>
    <xf numFmtId="0" fontId="17" fillId="0" borderId="0" xfId="7" applyFont="1" applyAlignment="1">
      <alignment horizontal="center"/>
    </xf>
    <xf numFmtId="0" fontId="17" fillId="9" borderId="0" xfId="7" applyFont="1" applyFill="1" applyAlignment="1">
      <alignment horizontal="center"/>
    </xf>
    <xf numFmtId="0" fontId="17" fillId="9" borderId="0" xfId="7" applyFont="1" applyFill="1" applyAlignment="1">
      <alignment horizontal="left"/>
    </xf>
    <xf numFmtId="166" fontId="18" fillId="0" borderId="0" xfId="7" applyNumberFormat="1" applyFont="1"/>
    <xf numFmtId="0" fontId="17" fillId="0" borderId="0" xfId="7" applyFont="1"/>
    <xf numFmtId="0" fontId="51" fillId="0" borderId="0" xfId="7" applyFont="1" applyAlignment="1">
      <alignment horizontal="center" vertical="center"/>
    </xf>
    <xf numFmtId="0" fontId="52" fillId="9" borderId="0" xfId="7" applyFont="1" applyFill="1" applyAlignment="1">
      <alignment horizontal="left" vertical="center"/>
    </xf>
    <xf numFmtId="0" fontId="53" fillId="0" borderId="0" xfId="7" applyFont="1" applyAlignment="1">
      <alignment horizontal="center" vertical="center"/>
    </xf>
    <xf numFmtId="164" fontId="82" fillId="0" borderId="0" xfId="5" applyFill="1" applyBorder="1" applyAlignment="1" applyProtection="1">
      <alignment horizontal="center" vertical="center"/>
    </xf>
    <xf numFmtId="0" fontId="19" fillId="0" borderId="0" xfId="0" applyFont="1" applyAlignment="1">
      <alignment horizontal="center" vertical="center"/>
    </xf>
    <xf numFmtId="0" fontId="54" fillId="0" borderId="0" xfId="4" applyFill="1" applyBorder="1" applyProtection="1"/>
    <xf numFmtId="164" fontId="19" fillId="0" borderId="0" xfId="0" applyNumberFormat="1" applyFont="1"/>
    <xf numFmtId="0" fontId="19" fillId="9" borderId="0" xfId="0" applyFont="1" applyFill="1" applyAlignment="1">
      <alignment horizontal="center" vertical="center"/>
    </xf>
    <xf numFmtId="0" fontId="19" fillId="12" borderId="28" xfId="0" applyFont="1" applyFill="1" applyBorder="1" applyAlignment="1">
      <alignment vertical="center"/>
    </xf>
    <xf numFmtId="0" fontId="19" fillId="12" borderId="29" xfId="0" applyFont="1" applyFill="1" applyBorder="1" applyAlignment="1">
      <alignment vertical="center"/>
    </xf>
    <xf numFmtId="0" fontId="55" fillId="12" borderId="30" xfId="0" applyFont="1" applyFill="1" applyBorder="1" applyAlignment="1">
      <alignment vertical="center"/>
    </xf>
    <xf numFmtId="0" fontId="56" fillId="11" borderId="0" xfId="4" applyFont="1" applyFill="1" applyBorder="1" applyAlignment="1" applyProtection="1">
      <alignment horizontal="center" vertical="center"/>
    </xf>
    <xf numFmtId="0" fontId="19" fillId="9" borderId="0" xfId="0" applyFont="1" applyFill="1" applyAlignment="1">
      <alignment vertical="center"/>
    </xf>
    <xf numFmtId="0" fontId="55" fillId="9" borderId="0" xfId="0" applyFont="1" applyFill="1" applyAlignment="1">
      <alignment vertical="center"/>
    </xf>
    <xf numFmtId="0" fontId="61" fillId="0" borderId="32" xfId="0" applyFont="1" applyBorder="1"/>
    <xf numFmtId="0" fontId="62" fillId="0" borderId="0" xfId="0" applyFont="1"/>
    <xf numFmtId="166" fontId="19" fillId="0" borderId="0" xfId="1" applyNumberFormat="1" applyFont="1" applyFill="1" applyBorder="1" applyProtection="1"/>
    <xf numFmtId="165" fontId="19" fillId="0" borderId="0" xfId="1" applyFont="1" applyFill="1" applyBorder="1" applyProtection="1"/>
    <xf numFmtId="0" fontId="63" fillId="9" borderId="0" xfId="0" applyFont="1" applyFill="1"/>
    <xf numFmtId="0" fontId="67" fillId="0" borderId="32" xfId="0" applyFont="1" applyBorder="1" applyAlignment="1">
      <alignment horizontal="center"/>
    </xf>
    <xf numFmtId="0" fontId="68" fillId="0" borderId="0" xfId="0" applyFont="1" applyAlignment="1">
      <alignment horizontal="left" vertical="center"/>
    </xf>
    <xf numFmtId="166" fontId="69" fillId="0" borderId="0" xfId="1" applyNumberFormat="1" applyFont="1" applyFill="1" applyBorder="1" applyProtection="1"/>
    <xf numFmtId="0" fontId="70" fillId="0" borderId="33" xfId="0" applyFont="1" applyBorder="1"/>
    <xf numFmtId="0" fontId="71" fillId="9" borderId="0" xfId="0" applyFont="1" applyFill="1" applyAlignment="1">
      <alignment horizontal="center" vertical="center"/>
    </xf>
    <xf numFmtId="0" fontId="70" fillId="9" borderId="0" xfId="0" applyFont="1" applyFill="1" applyAlignment="1">
      <alignment horizontal="left" vertical="center"/>
    </xf>
    <xf numFmtId="166" fontId="69" fillId="9" borderId="0" xfId="1" applyNumberFormat="1" applyFont="1" applyFill="1" applyBorder="1" applyProtection="1"/>
    <xf numFmtId="0" fontId="70" fillId="9" borderId="0" xfId="0" applyFont="1" applyFill="1"/>
    <xf numFmtId="166" fontId="67" fillId="0" borderId="0" xfId="1" applyNumberFormat="1" applyFont="1" applyFill="1" applyBorder="1" applyProtection="1"/>
    <xf numFmtId="166" fontId="71" fillId="9" borderId="0" xfId="1" applyNumberFormat="1" applyFont="1" applyFill="1" applyBorder="1" applyProtection="1"/>
    <xf numFmtId="0" fontId="71" fillId="0" borderId="0" xfId="0" applyFont="1" applyAlignment="1">
      <alignment horizontal="center" vertical="center"/>
    </xf>
    <xf numFmtId="0" fontId="70" fillId="0" borderId="0" xfId="0" applyFont="1" applyAlignment="1">
      <alignment horizontal="left" vertical="center"/>
    </xf>
    <xf numFmtId="166" fontId="71" fillId="0" borderId="0" xfId="1" applyNumberFormat="1" applyFont="1" applyFill="1" applyBorder="1" applyProtection="1"/>
    <xf numFmtId="0" fontId="70" fillId="0" borderId="0" xfId="0" applyFont="1"/>
    <xf numFmtId="0" fontId="68" fillId="9" borderId="0" xfId="0" applyFont="1" applyFill="1"/>
    <xf numFmtId="0" fontId="70" fillId="0" borderId="32" xfId="0" applyFont="1" applyBorder="1"/>
    <xf numFmtId="0" fontId="72" fillId="0" borderId="0" xfId="0" applyFont="1"/>
    <xf numFmtId="0" fontId="70" fillId="0" borderId="0" xfId="0" applyFont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74" fillId="0" borderId="0" xfId="0" applyFont="1"/>
    <xf numFmtId="166" fontId="75" fillId="0" borderId="0" xfId="1" applyNumberFormat="1" applyFont="1" applyFill="1" applyBorder="1" applyProtection="1"/>
    <xf numFmtId="165" fontId="19" fillId="0" borderId="0" xfId="0" applyNumberFormat="1" applyFont="1"/>
    <xf numFmtId="166" fontId="76" fillId="0" borderId="0" xfId="1" applyNumberFormat="1" applyFont="1" applyFill="1" applyBorder="1" applyProtection="1"/>
    <xf numFmtId="0" fontId="77" fillId="0" borderId="0" xfId="0" applyFont="1"/>
    <xf numFmtId="166" fontId="69" fillId="0" borderId="0" xfId="0" applyNumberFormat="1" applyFont="1"/>
    <xf numFmtId="0" fontId="78" fillId="0" borderId="34" xfId="0" applyFont="1" applyBorder="1"/>
    <xf numFmtId="0" fontId="78" fillId="0" borderId="35" xfId="0" applyFont="1" applyBorder="1"/>
    <xf numFmtId="0" fontId="78" fillId="0" borderId="36" xfId="0" applyFont="1" applyBorder="1"/>
    <xf numFmtId="0" fontId="78" fillId="0" borderId="0" xfId="0" applyFont="1" applyAlignment="1">
      <alignment horizontal="center" vertical="center"/>
    </xf>
    <xf numFmtId="0" fontId="78" fillId="0" borderId="0" xfId="0" applyFont="1"/>
    <xf numFmtId="0" fontId="79" fillId="0" borderId="0" xfId="0" applyFont="1"/>
    <xf numFmtId="0" fontId="80" fillId="0" borderId="0" xfId="0" applyFont="1"/>
    <xf numFmtId="0" fontId="80" fillId="0" borderId="0" xfId="0" applyFont="1" applyAlignment="1">
      <alignment horizontal="center"/>
    </xf>
    <xf numFmtId="0" fontId="81" fillId="0" borderId="0" xfId="0" applyFont="1"/>
    <xf numFmtId="0" fontId="81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165" fontId="51" fillId="0" borderId="0" xfId="1" applyFont="1" applyFill="1" applyBorder="1" applyAlignment="1" applyProtection="1">
      <alignment horizontal="center" vertical="center"/>
    </xf>
    <xf numFmtId="0" fontId="21" fillId="0" borderId="0" xfId="7" applyFont="1" applyAlignment="1">
      <alignment horizontal="center"/>
    </xf>
    <xf numFmtId="0" fontId="21" fillId="0" borderId="0" xfId="7" applyFont="1" applyAlignment="1">
      <alignment horizontal="center" vertical="center"/>
    </xf>
    <xf numFmtId="0" fontId="3" fillId="0" borderId="0" xfId="7" applyFont="1" applyAlignment="1">
      <alignment horizontal="left" vertical="center" wrapText="1"/>
    </xf>
    <xf numFmtId="0" fontId="34" fillId="12" borderId="21" xfId="8" applyFont="1" applyFill="1" applyBorder="1" applyAlignment="1">
      <alignment horizontal="center" vertical="center"/>
    </xf>
    <xf numFmtId="170" fontId="17" fillId="0" borderId="0" xfId="1" applyNumberFormat="1" applyFont="1" applyFill="1" applyBorder="1" applyAlignment="1" applyProtection="1">
      <alignment horizontal="center" vertical="center"/>
    </xf>
    <xf numFmtId="0" fontId="57" fillId="12" borderId="31" xfId="0" applyFont="1" applyFill="1" applyBorder="1" applyAlignment="1">
      <alignment horizontal="center" vertical="center"/>
    </xf>
    <xf numFmtId="0" fontId="58" fillId="9" borderId="0" xfId="0" applyFont="1" applyFill="1" applyAlignment="1">
      <alignment horizontal="center" vertical="center"/>
    </xf>
    <xf numFmtId="0" fontId="59" fillId="12" borderId="31" xfId="0" applyFont="1" applyFill="1" applyBorder="1" applyAlignment="1">
      <alignment horizontal="center" vertical="center"/>
    </xf>
    <xf numFmtId="0" fontId="60" fillId="9" borderId="0" xfId="0" applyFont="1" applyFill="1" applyAlignment="1">
      <alignment horizontal="center" vertical="center"/>
    </xf>
    <xf numFmtId="0" fontId="61" fillId="0" borderId="33" xfId="0" applyFont="1" applyBorder="1" applyAlignment="1">
      <alignment horizontal="center" vertical="center"/>
    </xf>
    <xf numFmtId="0" fontId="61" fillId="9" borderId="0" xfId="0" applyFont="1" applyFill="1" applyAlignment="1">
      <alignment horizontal="center" vertical="center"/>
    </xf>
    <xf numFmtId="0" fontId="73" fillId="0" borderId="31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64" fillId="0" borderId="33" xfId="0" applyFont="1" applyBorder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64" fillId="0" borderId="33" xfId="0" applyFont="1" applyBorder="1" applyAlignment="1">
      <alignment horizontal="center"/>
    </xf>
    <xf numFmtId="0" fontId="64" fillId="9" borderId="0" xfId="0" applyFont="1" applyFill="1" applyAlignment="1">
      <alignment horizontal="center"/>
    </xf>
    <xf numFmtId="0" fontId="65" fillId="0" borderId="31" xfId="0" applyFont="1" applyBorder="1" applyAlignment="1">
      <alignment horizontal="center" vertical="center"/>
    </xf>
    <xf numFmtId="0" fontId="66" fillId="9" borderId="0" xfId="0" applyFont="1" applyFill="1" applyAlignment="1">
      <alignment horizontal="center" vertical="center"/>
    </xf>
  </cellXfs>
  <cellStyles count="11">
    <cellStyle name="Comma" xfId="1" builtinId="3"/>
    <cellStyle name="Comma 2" xfId="5" xr:uid="{00000000-0005-0000-0000-000006000000}"/>
    <cellStyle name="Currency" xfId="2" builtinId="4"/>
    <cellStyle name="Excel Built-in Accent5" xfId="9" xr:uid="{00000000-0005-0000-0000-00000A000000}"/>
    <cellStyle name="Excel Built-in Accent6" xfId="10" xr:uid="{00000000-0005-0000-0000-00000B000000}"/>
    <cellStyle name="Hyperlink" xfId="4" builtinId="8"/>
    <cellStyle name="Normal" xfId="0" builtinId="0"/>
    <cellStyle name="Normal 2" xfId="6" xr:uid="{00000000-0005-0000-0000-000007000000}"/>
    <cellStyle name="Normal 4" xfId="7" xr:uid="{00000000-0005-0000-0000-000008000000}"/>
    <cellStyle name="Normal 7" xfId="8" xr:uid="{00000000-0005-0000-0000-000009000000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FFC7CE"/>
      <rgbColor rgb="FF808080"/>
      <rgbColor rgb="FF9999FF"/>
      <rgbColor rgb="FFA02B93"/>
      <rgbColor rgb="FFFBE3D6"/>
      <rgbColor rgb="FFCCFFFF"/>
      <rgbColor rgb="FF660066"/>
      <rgbColor rgb="FFD86ECC"/>
      <rgbColor rgb="FF0070C0"/>
      <rgbColor rgb="FFC1E5F5"/>
      <rgbColor rgb="FF000080"/>
      <rgbColor rgb="FFFF00FF"/>
      <rgbColor rgb="FFFFFF00"/>
      <rgbColor rgb="FF00FFFF"/>
      <rgbColor rgb="FF800080"/>
      <rgbColor rgb="FFC00000"/>
      <rgbColor rgb="FF0F9ED5"/>
      <rgbColor rgb="FF0000FF"/>
      <rgbColor rgb="FF00B0F0"/>
      <rgbColor rgb="FFCCFFFF"/>
      <rgbColor rgb="FFB4E5A2"/>
      <rgbColor rgb="FFFFFF99"/>
      <rgbColor rgb="FF83CBEB"/>
      <rgbColor rgb="FFFF99CC"/>
      <rgbColor rgb="FFCC99FF"/>
      <rgbColor rgb="FFF6C6AD"/>
      <rgbColor rgb="FF4E95D9"/>
      <rgbColor rgb="FF46B1E1"/>
      <rgbColor rgb="FF99CC00"/>
      <rgbColor rgb="FFFFCC00"/>
      <rgbColor rgb="FFFF9900"/>
      <rgbColor rgb="FFFF6600"/>
      <rgbColor rgb="FF467886"/>
      <rgbColor rgb="FF969696"/>
      <rgbColor rgb="FF002060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179280</xdr:colOff>
      <xdr:row>1</xdr:row>
      <xdr:rowOff>22320</xdr:rowOff>
    </xdr:from>
    <xdr:to>
      <xdr:col>2</xdr:col>
      <xdr:colOff>481320</xdr:colOff>
      <xdr:row>4</xdr:row>
      <xdr:rowOff>64800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280" y="212760"/>
          <a:ext cx="1908000" cy="614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795600</xdr:colOff>
      <xdr:row>121</xdr:row>
      <xdr:rowOff>48600</xdr:rowOff>
    </xdr:from>
    <xdr:to>
      <xdr:col>5</xdr:col>
      <xdr:colOff>358560</xdr:colOff>
      <xdr:row>127</xdr:row>
      <xdr:rowOff>11880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</a14:imgLayer>
              </a14:imgProps>
            </a:ext>
          </a:extLst>
        </a:blip>
        <a:stretch/>
      </xdr:blipFill>
      <xdr:spPr>
        <a:xfrm>
          <a:off x="6066000" y="16488720"/>
          <a:ext cx="2459880" cy="99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256680</xdr:colOff>
      <xdr:row>0</xdr:row>
      <xdr:rowOff>18360</xdr:rowOff>
    </xdr:from>
    <xdr:to>
      <xdr:col>1</xdr:col>
      <xdr:colOff>934560</xdr:colOff>
      <xdr:row>2</xdr:row>
      <xdr:rowOff>88200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56680" y="18360"/>
          <a:ext cx="1338120" cy="527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489960</xdr:colOff>
      <xdr:row>4</xdr:row>
      <xdr:rowOff>286920</xdr:rowOff>
    </xdr:from>
    <xdr:to>
      <xdr:col>12</xdr:col>
      <xdr:colOff>4320</xdr:colOff>
      <xdr:row>7</xdr:row>
      <xdr:rowOff>95040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3158720" y="1334520"/>
          <a:ext cx="3363840" cy="57024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numCol="1" spcCol="0" anchor="ctr">
          <a:noAutofit/>
        </a:bodyPr>
        <a:lstStyle/>
        <a:p>
          <a:pPr>
            <a:lnSpc>
              <a:spcPct val="107000"/>
            </a:lnSpc>
          </a:pPr>
          <a:endParaRPr lang="en-US" sz="1200" b="0" strike="noStrike" spc="-1">
            <a:latin typeface="Noto Sans CJK SC"/>
          </a:endParaRPr>
        </a:p>
        <a:p>
          <a:pPr algn="ctr">
            <a:lnSpc>
              <a:spcPct val="107000"/>
            </a:lnSpc>
          </a:pPr>
          <a:r>
            <a:rPr lang="hi-IN" sz="1000" b="1" strike="noStrike" spc="-1">
              <a:latin typeface="Calibri"/>
              <a:cs typeface="Phetsarath OT"/>
            </a:rPr>
            <a:t>ບໍລິສັດ ມິຢາໂມໂຕ້ </a:t>
          </a:r>
          <a:r>
            <a:rPr lang="en-US" sz="1000" b="1" strike="noStrike" spc="-1">
              <a:latin typeface="Calibri"/>
              <a:ea typeface="Calibri"/>
            </a:rPr>
            <a:t>(</a:t>
          </a:r>
          <a:r>
            <a:rPr lang="hi-IN" sz="1000" b="1" strike="noStrike" spc="-1">
              <a:latin typeface="Calibri"/>
              <a:cs typeface="Phetsarath OT"/>
            </a:rPr>
            <a:t>ລາວ</a:t>
          </a:r>
          <a:r>
            <a:rPr lang="en-US" sz="1000" b="1" strike="noStrike" spc="-1">
              <a:latin typeface="Calibri"/>
              <a:ea typeface="Calibri"/>
            </a:rPr>
            <a:t>) </a:t>
          </a:r>
          <a:r>
            <a:rPr lang="hi-IN" sz="1000" b="1" strike="noStrike" spc="-1">
              <a:latin typeface="Calibri"/>
              <a:cs typeface="Phetsarath OT"/>
            </a:rPr>
            <a:t>ຈຳກັດ</a:t>
          </a:r>
          <a:endParaRPr lang="en-US" sz="1000" b="0" strike="noStrike" spc="-1">
            <a:latin typeface="Noto Sans CJK SC"/>
          </a:endParaRPr>
        </a:p>
        <a:p>
          <a:pPr algn="ctr">
            <a:lnSpc>
              <a:spcPct val="107000"/>
            </a:lnSpc>
          </a:pPr>
          <a:r>
            <a:rPr lang="en-GB" sz="1000" b="1" strike="noStrike" spc="-1">
              <a:latin typeface="Times New Roman"/>
              <a:ea typeface="Times New Roman"/>
            </a:rPr>
            <a:t>MIYAMOTO (LAO) CO., LTD</a:t>
          </a:r>
          <a:endParaRPr lang="en-US" sz="1000" b="0" strike="noStrike" spc="-1">
            <a:latin typeface="Noto Sans CJK SC"/>
          </a:endParaRPr>
        </a:p>
      </xdr:txBody>
    </xdr:sp>
    <xdr:clientData/>
  </xdr:twoCellAnchor>
  <xdr:twoCellAnchor editAs="absolute">
    <xdr:from>
      <xdr:col>11</xdr:col>
      <xdr:colOff>177120</xdr:colOff>
      <xdr:row>4</xdr:row>
      <xdr:rowOff>122400</xdr:rowOff>
    </xdr:from>
    <xdr:to>
      <xdr:col>11</xdr:col>
      <xdr:colOff>2568960</xdr:colOff>
      <xdr:row>5</xdr:row>
      <xdr:rowOff>220680</xdr:rowOff>
    </xdr:to>
    <xdr:pic>
      <xdr:nvPicPr>
        <xdr:cNvPr id="4" name="Picture 3" descr="C:\Users\User\Downloads\465758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22040" y="1170000"/>
          <a:ext cx="2391840" cy="40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54360</xdr:colOff>
      <xdr:row>2</xdr:row>
      <xdr:rowOff>95400</xdr:rowOff>
    </xdr:from>
    <xdr:to>
      <xdr:col>2</xdr:col>
      <xdr:colOff>925200</xdr:colOff>
      <xdr:row>4</xdr:row>
      <xdr:rowOff>291600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2"/>
        <a:srcRect b="50000"/>
        <a:stretch/>
      </xdr:blipFill>
      <xdr:spPr>
        <a:xfrm>
          <a:off x="461520" y="561960"/>
          <a:ext cx="1569960" cy="777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a.me/8562092539860" TargetMode="External"/><Relationship Id="rId1" Type="http://schemas.openxmlformats.org/officeDocument/2006/relationships/hyperlink" Target="https://www.laotradeportal.gov.la/kcfinder/upload/files/AHTN%202017-Sect_XVI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158"/>
  <sheetViews>
    <sheetView tabSelected="1" topLeftCell="Q1" zoomScale="85" zoomScaleNormal="85" zoomScalePageLayoutView="85" workbookViewId="0">
      <selection activeCell="Z6" sqref="Z6"/>
    </sheetView>
  </sheetViews>
  <sheetFormatPr defaultColWidth="9.109375" defaultRowHeight="13.8"/>
  <cols>
    <col min="1" max="1" width="9" style="3" bestFit="1" customWidth="1"/>
    <col min="2" max="2" width="14.109375" style="3" customWidth="1"/>
    <col min="3" max="3" width="36" style="3" bestFit="1" customWidth="1"/>
    <col min="4" max="4" width="14.88671875" style="4" customWidth="1"/>
    <col min="5" max="5" width="18.6640625" style="3" customWidth="1"/>
    <col min="6" max="6" width="12.44140625" style="3" customWidth="1"/>
    <col min="7" max="7" width="7.6640625" style="5" bestFit="1" customWidth="1"/>
    <col min="8" max="8" width="19.33203125" style="6" customWidth="1"/>
    <col min="9" max="9" width="22" style="6" customWidth="1"/>
    <col min="10" max="10" width="18.109375" style="6" bestFit="1" customWidth="1"/>
    <col min="11" max="11" width="16" style="6" bestFit="1" customWidth="1"/>
    <col min="12" max="12" width="15" style="6" bestFit="1" customWidth="1"/>
    <col min="13" max="13" width="5.6640625" style="6" bestFit="1" customWidth="1"/>
    <col min="14" max="14" width="16" style="6" bestFit="1" customWidth="1"/>
    <col min="15" max="15" width="17.6640625" style="6" bestFit="1" customWidth="1"/>
    <col min="16" max="16" width="14.6640625" style="6" bestFit="1" customWidth="1"/>
    <col min="17" max="17" width="16.109375" style="6" bestFit="1" customWidth="1"/>
    <col min="18" max="18" width="16" style="6" bestFit="1" customWidth="1"/>
    <col min="19" max="19" width="16.109375" style="6" bestFit="1" customWidth="1"/>
    <col min="20" max="20" width="17.44140625" style="6" bestFit="1" customWidth="1"/>
    <col min="21" max="21" width="14.6640625" style="5" bestFit="1" customWidth="1"/>
    <col min="22" max="22" width="15" style="6" bestFit="1" customWidth="1"/>
    <col min="23" max="23" width="16" style="6" bestFit="1" customWidth="1"/>
    <col min="24" max="24" width="18" style="6" bestFit="1" customWidth="1"/>
    <col min="25" max="25" width="14.6640625" style="6" bestFit="1" customWidth="1"/>
    <col min="26" max="27" width="16" style="6" bestFit="1" customWidth="1"/>
    <col min="28" max="28" width="18.5546875" style="6" bestFit="1" customWidth="1"/>
    <col min="29" max="29" width="18.109375" style="6" bestFit="1" customWidth="1"/>
    <col min="30" max="30" width="16" style="6" bestFit="1" customWidth="1"/>
    <col min="31" max="31" width="20.5546875" style="6" bestFit="1" customWidth="1"/>
    <col min="32" max="32" width="17.88671875" style="6" bestFit="1" customWidth="1"/>
    <col min="33" max="33" width="18.5546875" style="6" bestFit="1" customWidth="1"/>
    <col min="34" max="34" width="9.44140625" style="6" customWidth="1"/>
    <col min="35" max="35" width="16.109375" style="6" bestFit="1" customWidth="1"/>
    <col min="36" max="36" width="8.109375" style="3" bestFit="1" customWidth="1"/>
    <col min="37" max="37" width="19.44140625" style="3" bestFit="1" customWidth="1"/>
    <col min="38" max="38" width="14.5546875" style="3" bestFit="1" customWidth="1"/>
    <col min="39" max="39" width="13.5546875" style="3" bestFit="1" customWidth="1"/>
    <col min="40" max="42" width="16.44140625" style="3" bestFit="1" customWidth="1"/>
    <col min="43" max="43" width="13.6640625" style="3" bestFit="1" customWidth="1"/>
    <col min="44" max="16384" width="9.109375" style="3"/>
  </cols>
  <sheetData>
    <row r="2" spans="1:43">
      <c r="A2" s="7" t="s">
        <v>0</v>
      </c>
    </row>
    <row r="3" spans="1:43">
      <c r="A3" s="8" t="s">
        <v>1</v>
      </c>
    </row>
    <row r="4" spans="1:43">
      <c r="A4" s="8" t="s">
        <v>2</v>
      </c>
    </row>
    <row r="5" spans="1:43">
      <c r="A5" s="8" t="s">
        <v>3</v>
      </c>
      <c r="F5" s="8" t="s">
        <v>4</v>
      </c>
    </row>
    <row r="6" spans="1:43" s="23" customFormat="1" ht="37.5" customHeight="1">
      <c r="A6" s="9" t="s">
        <v>325</v>
      </c>
      <c r="B6" s="9" t="s">
        <v>326</v>
      </c>
      <c r="C6" s="9" t="s">
        <v>327</v>
      </c>
      <c r="D6" s="10" t="s">
        <v>328</v>
      </c>
      <c r="E6" s="9" t="s">
        <v>329</v>
      </c>
      <c r="F6" s="9" t="s">
        <v>330</v>
      </c>
      <c r="G6" s="11" t="s">
        <v>331</v>
      </c>
      <c r="H6" s="12" t="s">
        <v>332</v>
      </c>
      <c r="I6" s="12" t="s">
        <v>333</v>
      </c>
      <c r="J6" s="12" t="s">
        <v>334</v>
      </c>
      <c r="K6" s="13" t="s">
        <v>335</v>
      </c>
      <c r="L6" s="13" t="s">
        <v>336</v>
      </c>
      <c r="M6" s="14" t="s">
        <v>337</v>
      </c>
      <c r="N6" s="13" t="s">
        <v>338</v>
      </c>
      <c r="O6" s="13" t="s">
        <v>339</v>
      </c>
      <c r="P6" s="13" t="s">
        <v>340</v>
      </c>
      <c r="Q6" s="13" t="s">
        <v>341</v>
      </c>
      <c r="R6" s="13" t="s">
        <v>342</v>
      </c>
      <c r="S6" s="13" t="s">
        <v>343</v>
      </c>
      <c r="T6" s="12" t="s">
        <v>344</v>
      </c>
      <c r="U6" s="15" t="s">
        <v>345</v>
      </c>
      <c r="V6" s="16" t="s">
        <v>346</v>
      </c>
      <c r="W6" s="16" t="s">
        <v>347</v>
      </c>
      <c r="X6" s="16" t="s">
        <v>348</v>
      </c>
      <c r="Y6" s="16" t="s">
        <v>349</v>
      </c>
      <c r="Z6" s="16" t="s">
        <v>362</v>
      </c>
      <c r="AA6" s="12" t="s">
        <v>350</v>
      </c>
      <c r="AB6" s="12" t="s">
        <v>351</v>
      </c>
      <c r="AC6" s="12" t="s">
        <v>352</v>
      </c>
      <c r="AD6" s="12" t="s">
        <v>353</v>
      </c>
      <c r="AE6" s="12" t="s">
        <v>354</v>
      </c>
      <c r="AF6" s="17" t="s">
        <v>355</v>
      </c>
      <c r="AG6" s="17" t="s">
        <v>356</v>
      </c>
      <c r="AH6" s="18" t="s">
        <v>11</v>
      </c>
      <c r="AI6" s="18" t="s">
        <v>12</v>
      </c>
      <c r="AJ6" s="19" t="s">
        <v>13</v>
      </c>
      <c r="AK6" s="20" t="s">
        <v>357</v>
      </c>
      <c r="AL6" s="21" t="s">
        <v>358</v>
      </c>
      <c r="AM6" s="21" t="s">
        <v>359</v>
      </c>
      <c r="AN6" s="21" t="s">
        <v>360</v>
      </c>
      <c r="AO6" s="21" t="s">
        <v>361</v>
      </c>
      <c r="AP6" s="22" t="s">
        <v>14</v>
      </c>
    </row>
    <row r="7" spans="1:43" s="40" customFormat="1">
      <c r="A7" s="25">
        <f t="array" ref="A7:A79">_xlfn.SEQUENCE(COUNTA(B7:B136))</f>
        <v>1</v>
      </c>
      <c r="B7" s="26" t="s">
        <v>15</v>
      </c>
      <c r="C7" s="26" t="s">
        <v>16</v>
      </c>
      <c r="D7" s="27" t="s">
        <v>17</v>
      </c>
      <c r="E7" s="26" t="s">
        <v>18</v>
      </c>
      <c r="F7" s="28" t="s">
        <v>4</v>
      </c>
      <c r="G7" s="29">
        <v>26</v>
      </c>
      <c r="H7" s="30">
        <f>100000*680.67</f>
        <v>68067000</v>
      </c>
      <c r="I7" s="31">
        <f ca="1">SUMIF($B$7:$B$175,OT!B8,OT!$S$8:$S$160)</f>
        <v>0</v>
      </c>
      <c r="J7" s="30">
        <f ca="1">SUMIF($B$7:$B$136,เงินกะ!B8,เงินกะ!$M$8:$M$100)</f>
        <v>0</v>
      </c>
      <c r="K7" s="31"/>
      <c r="L7" s="31"/>
      <c r="M7" s="31"/>
      <c r="N7" s="31"/>
      <c r="O7" s="31"/>
      <c r="P7" s="31"/>
      <c r="Q7" s="31"/>
      <c r="R7" s="31"/>
      <c r="S7" s="31"/>
      <c r="T7" s="32">
        <f t="shared" ref="T7:T38" ca="1" si="0">SUM(H7:S7)</f>
        <v>68067000</v>
      </c>
      <c r="U7" s="33"/>
      <c r="V7" s="31">
        <f ca="1">SUMIF($B$7:$B$136,'ขาด-ลา-มาสาย'!B8,'ขาด-ลา-มาสาย'!$K$8:$K$100)</f>
        <v>0</v>
      </c>
      <c r="W7" s="31">
        <f ca="1">SUMIF($B$7:$B$136,'ขาด-ลา-มาสาย'!B8,'ขาด-ลา-มาสาย'!$N$8:$N$100)</f>
        <v>0</v>
      </c>
      <c r="X7" s="31">
        <f ca="1">SUMIF($B$7:$B$136,'ขาด-ลา-มาสาย'!B8,'ขาด-ลา-มาสาย'!$Q$8:$Q$100)</f>
        <v>0</v>
      </c>
      <c r="Y7" s="31">
        <f ca="1">SUMIF($B$7:$B$136,'ขาด-ลา-มาสาย'!B8,'ขาด-ลา-มาสาย'!$T$8:$T$100)</f>
        <v>0</v>
      </c>
      <c r="Z7" s="31">
        <f ca="1">SUMIF($B$7:$B$136,'ขาด-ลา-มาสาย'!B8,'ขาด-ลา-มาสาย'!$W$8:$W$100)</f>
        <v>0</v>
      </c>
      <c r="AA7" s="32">
        <f t="shared" ref="AA7:AA38" ca="1" si="1">SUM(U7:Z7)</f>
        <v>0</v>
      </c>
      <c r="AB7" s="33">
        <f t="shared" ref="AB7:AB38" ca="1" si="2">T7-AA7</f>
        <v>68067000</v>
      </c>
      <c r="AC7" s="31">
        <f ca="1">AB7-0</f>
        <v>68067000</v>
      </c>
      <c r="AD7" s="31">
        <f t="shared" ref="AD7:AD38" ca="1" si="3">AC7*5%</f>
        <v>3403350</v>
      </c>
      <c r="AE7" s="32">
        <f t="shared" ref="AE7:AE38" ca="1" si="4">AB7-AD7</f>
        <v>64663650</v>
      </c>
      <c r="AF7" s="32"/>
      <c r="AG7" s="32">
        <f t="shared" ref="AG7:AG38" ca="1" si="5">AE7-AF7</f>
        <v>64663650</v>
      </c>
      <c r="AH7" s="31" t="s">
        <v>19</v>
      </c>
      <c r="AI7" s="34">
        <f t="shared" ref="AI7:AI15" ca="1" si="6">AE7/680</f>
        <v>95093.602941176476</v>
      </c>
      <c r="AJ7" s="35"/>
      <c r="AK7" s="36" t="s">
        <v>20</v>
      </c>
      <c r="AL7" s="37">
        <f t="shared" ref="AL7:AL15" si="7">H7</f>
        <v>68067000</v>
      </c>
      <c r="AM7" s="38">
        <f t="shared" ref="AM7:AM15" ca="1" si="8">AA7</f>
        <v>0</v>
      </c>
      <c r="AN7" s="38">
        <f t="shared" ref="AN7:AN15" ca="1" si="9">AL7-AM7</f>
        <v>68067000</v>
      </c>
      <c r="AO7" s="38">
        <f t="shared" ref="AO7:AO15" ca="1" si="10">SUM(I7:S7)</f>
        <v>0</v>
      </c>
      <c r="AP7" s="39">
        <f t="shared" ref="AP7:AP15" ca="1" si="11">AE7</f>
        <v>64663650</v>
      </c>
      <c r="AQ7" s="40">
        <v>68081000</v>
      </c>
    </row>
    <row r="8" spans="1:43" s="40" customFormat="1">
      <c r="A8" s="25">
        <v>2</v>
      </c>
      <c r="B8" s="26" t="s">
        <v>21</v>
      </c>
      <c r="C8" s="26" t="s">
        <v>22</v>
      </c>
      <c r="D8" s="27">
        <v>2098388245</v>
      </c>
      <c r="E8" s="26" t="s">
        <v>23</v>
      </c>
      <c r="F8" s="28" t="s">
        <v>4</v>
      </c>
      <c r="G8" s="29">
        <v>26</v>
      </c>
      <c r="H8" s="30">
        <f>20000*680.67</f>
        <v>13613400</v>
      </c>
      <c r="I8" s="31">
        <f ca="1">SUMIF($B$7:$B$175,OT!B9,OT!$S$8:$S$160)</f>
        <v>0</v>
      </c>
      <c r="J8" s="30">
        <f ca="1">SUMIF($B$7:$B$136,เงินกะ!B9,เงินกะ!$M$8:$M$100)</f>
        <v>0</v>
      </c>
      <c r="K8" s="31"/>
      <c r="L8" s="31"/>
      <c r="M8" s="31"/>
      <c r="N8" s="31"/>
      <c r="O8" s="31"/>
      <c r="P8" s="31"/>
      <c r="Q8" s="31"/>
      <c r="R8" s="31"/>
      <c r="S8" s="31"/>
      <c r="T8" s="32">
        <f t="shared" ca="1" si="0"/>
        <v>13613400</v>
      </c>
      <c r="U8" s="33"/>
      <c r="V8" s="31">
        <f ca="1">SUMIF($B$7:$B$136,'ขาด-ลา-มาสาย'!B9,'ขาด-ลา-มาสาย'!$K$8:$K$100)</f>
        <v>0</v>
      </c>
      <c r="W8" s="31">
        <f ca="1">SUMIF($B$7:$B$136,'ขาด-ลา-มาสาย'!B9,'ขาด-ลา-มาสาย'!$N$8:$N$100)</f>
        <v>0</v>
      </c>
      <c r="X8" s="31">
        <f ca="1">SUMIF($B$7:$B$136,'ขาด-ลา-มาสาย'!B9,'ขาด-ลา-มาสาย'!$Q$8:$Q$100)</f>
        <v>0</v>
      </c>
      <c r="Y8" s="31">
        <f ca="1">SUMIF($B$7:$B$136,'ขาด-ลา-มาสาย'!B9,'ขาด-ลา-มาสาย'!$T$8:$T$100)</f>
        <v>0</v>
      </c>
      <c r="Z8" s="31">
        <f ca="1">SUMIF($B$7:$B$136,'ขาด-ลา-มาสาย'!B9,'ขาด-ลา-มาสาย'!$W$8:$W$100)</f>
        <v>0</v>
      </c>
      <c r="AA8" s="32">
        <f t="shared" ca="1" si="1"/>
        <v>0</v>
      </c>
      <c r="AB8" s="33">
        <f t="shared" ca="1" si="2"/>
        <v>13613400</v>
      </c>
      <c r="AC8" s="31">
        <f ca="1">AB8-0</f>
        <v>13613400</v>
      </c>
      <c r="AD8" s="31">
        <f t="shared" ca="1" si="3"/>
        <v>680670</v>
      </c>
      <c r="AE8" s="32">
        <f t="shared" ca="1" si="4"/>
        <v>12932730</v>
      </c>
      <c r="AF8" s="32"/>
      <c r="AG8" s="32">
        <f t="shared" ca="1" si="5"/>
        <v>12932730</v>
      </c>
      <c r="AH8" s="31" t="s">
        <v>19</v>
      </c>
      <c r="AI8" s="34">
        <f t="shared" ca="1" si="6"/>
        <v>19018.720588235294</v>
      </c>
      <c r="AJ8" s="35"/>
      <c r="AK8" s="36" t="s">
        <v>20</v>
      </c>
      <c r="AL8" s="37">
        <f t="shared" si="7"/>
        <v>13613400</v>
      </c>
      <c r="AM8" s="38">
        <f t="shared" ca="1" si="8"/>
        <v>0</v>
      </c>
      <c r="AN8" s="38">
        <f t="shared" ca="1" si="9"/>
        <v>13613400</v>
      </c>
      <c r="AO8" s="38">
        <f t="shared" ca="1" si="10"/>
        <v>0</v>
      </c>
      <c r="AP8" s="39">
        <f t="shared" ca="1" si="11"/>
        <v>12932730</v>
      </c>
    </row>
    <row r="9" spans="1:43" s="40" customFormat="1">
      <c r="A9" s="25">
        <v>3</v>
      </c>
      <c r="B9" s="26" t="s">
        <v>24</v>
      </c>
      <c r="C9" s="26" t="s">
        <v>25</v>
      </c>
      <c r="D9" s="27">
        <v>2023333500</v>
      </c>
      <c r="E9" s="26" t="s">
        <v>26</v>
      </c>
      <c r="F9" s="28" t="s">
        <v>27</v>
      </c>
      <c r="G9" s="29">
        <v>26</v>
      </c>
      <c r="H9" s="30">
        <f>100000*680.67</f>
        <v>68067000</v>
      </c>
      <c r="I9" s="31">
        <f ca="1">SUMIF($B$7:$B$175,OT!B10,OT!$S$8:$S$160)</f>
        <v>0</v>
      </c>
      <c r="J9" s="30">
        <f ca="1">SUMIF($B$7:$B$136,เงินกะ!B10,เงินกะ!$M$8:$M$100)</f>
        <v>0</v>
      </c>
      <c r="K9" s="31"/>
      <c r="L9" s="31"/>
      <c r="M9" s="31"/>
      <c r="N9" s="31"/>
      <c r="O9" s="31"/>
      <c r="P9" s="31"/>
      <c r="Q9" s="31"/>
      <c r="R9" s="31"/>
      <c r="S9" s="31"/>
      <c r="T9" s="32">
        <f t="shared" ca="1" si="0"/>
        <v>68067000</v>
      </c>
      <c r="U9" s="33"/>
      <c r="V9" s="31">
        <f ca="1">SUMIF($B$7:$B$136,'ขาด-ลา-มาสาย'!B10,'ขาด-ลา-มาสาย'!$K$8:$K$100)</f>
        <v>0</v>
      </c>
      <c r="W9" s="31">
        <f ca="1">SUMIF($B$7:$B$136,'ขาด-ลา-มาสาย'!B10,'ขาด-ลา-มาสาย'!$N$8:$N$100)</f>
        <v>0</v>
      </c>
      <c r="X9" s="31">
        <f ca="1">SUMIF($B$7:$B$136,'ขาด-ลา-มาสาย'!B10,'ขาด-ลา-มาสาย'!$Q$8:$Q$100)</f>
        <v>0</v>
      </c>
      <c r="Y9" s="31">
        <f ca="1">SUMIF($B$7:$B$136,'ขาด-ลา-มาสาย'!B10,'ขาด-ลา-มาสาย'!$T$8:$T$100)</f>
        <v>0</v>
      </c>
      <c r="Z9" s="31">
        <f ca="1">SUMIF($B$7:$B$136,'ขาด-ลา-มาสาย'!B10,'ขาด-ลา-มาสาย'!$W$8:$W$100)</f>
        <v>0</v>
      </c>
      <c r="AA9" s="32">
        <f t="shared" ca="1" si="1"/>
        <v>0</v>
      </c>
      <c r="AB9" s="33">
        <f t="shared" ca="1" si="2"/>
        <v>68067000</v>
      </c>
      <c r="AC9" s="31">
        <f t="shared" ref="AC9:AC40" ca="1" si="12">AB9-200000</f>
        <v>67867000</v>
      </c>
      <c r="AD9" s="31">
        <f t="shared" ca="1" si="3"/>
        <v>3393350</v>
      </c>
      <c r="AE9" s="32">
        <f t="shared" ca="1" si="4"/>
        <v>64673650</v>
      </c>
      <c r="AF9" s="32"/>
      <c r="AG9" s="32">
        <f t="shared" ca="1" si="5"/>
        <v>64673650</v>
      </c>
      <c r="AH9" s="31" t="s">
        <v>19</v>
      </c>
      <c r="AI9" s="34">
        <f t="shared" ca="1" si="6"/>
        <v>95108.308823529413</v>
      </c>
      <c r="AJ9" s="35"/>
      <c r="AK9" s="36" t="s">
        <v>20</v>
      </c>
      <c r="AL9" s="37">
        <f t="shared" si="7"/>
        <v>68067000</v>
      </c>
      <c r="AM9" s="38">
        <f t="shared" ca="1" si="8"/>
        <v>0</v>
      </c>
      <c r="AN9" s="38">
        <f t="shared" ca="1" si="9"/>
        <v>68067000</v>
      </c>
      <c r="AO9" s="38">
        <f t="shared" ca="1" si="10"/>
        <v>0</v>
      </c>
      <c r="AP9" s="39">
        <f t="shared" ca="1" si="11"/>
        <v>64673650</v>
      </c>
    </row>
    <row r="10" spans="1:43" s="40" customFormat="1">
      <c r="A10" s="25">
        <v>4</v>
      </c>
      <c r="B10" s="26" t="s">
        <v>28</v>
      </c>
      <c r="C10" s="26" t="s">
        <v>29</v>
      </c>
      <c r="D10" s="27">
        <v>2023333800</v>
      </c>
      <c r="E10" s="26" t="s">
        <v>30</v>
      </c>
      <c r="F10" s="28" t="s">
        <v>27</v>
      </c>
      <c r="G10" s="29">
        <v>26</v>
      </c>
      <c r="H10" s="30">
        <f>40000*680.67</f>
        <v>27226800</v>
      </c>
      <c r="I10" s="31">
        <f ca="1">SUMIF($B$7:$B$175,OT!B11,OT!$S$8:$S$160)</f>
        <v>0</v>
      </c>
      <c r="J10" s="30">
        <f ca="1">SUMIF($B$7:$B$136,เงินกะ!B11,เงินกะ!$M$8:$M$100)</f>
        <v>0</v>
      </c>
      <c r="K10" s="31"/>
      <c r="L10" s="31"/>
      <c r="M10" s="31"/>
      <c r="N10" s="31"/>
      <c r="O10" s="31"/>
      <c r="P10" s="31"/>
      <c r="Q10" s="31"/>
      <c r="R10" s="30">
        <f>18000*680.81</f>
        <v>12254579.999999998</v>
      </c>
      <c r="S10" s="31"/>
      <c r="T10" s="32">
        <f t="shared" ca="1" si="0"/>
        <v>39481380</v>
      </c>
      <c r="U10" s="33"/>
      <c r="V10" s="31">
        <f ca="1">SUMIF($B$7:$B$136,'ขาด-ลา-มาสาย'!B11,'ขาด-ลา-มาสาย'!$K$8:$K$100)</f>
        <v>0</v>
      </c>
      <c r="W10" s="31">
        <f ca="1">SUMIF($B$7:$B$136,'ขาด-ลา-มาสาย'!B11,'ขาด-ลา-มาสาย'!$N$8:$N$100)</f>
        <v>0</v>
      </c>
      <c r="X10" s="31">
        <f ca="1">SUMIF($B$7:$B$136,'ขาด-ลา-มาสาย'!B11,'ขาด-ลา-มาสาย'!$Q$8:$Q$100)</f>
        <v>0</v>
      </c>
      <c r="Y10" s="31">
        <f ca="1">SUMIF($B$7:$B$136,'ขาด-ลา-มาสาย'!B11,'ขาด-ลา-มาสาย'!$T$8:$T$100)</f>
        <v>0</v>
      </c>
      <c r="Z10" s="31">
        <f ca="1">SUMIF($B$7:$B$136,'ขาด-ลา-มาสาย'!B11,'ขาด-ลา-มาสาย'!$W$8:$W$100)</f>
        <v>0</v>
      </c>
      <c r="AA10" s="32">
        <f t="shared" ca="1" si="1"/>
        <v>0</v>
      </c>
      <c r="AB10" s="33">
        <f t="shared" ca="1" si="2"/>
        <v>39481380</v>
      </c>
      <c r="AC10" s="31">
        <f t="shared" ca="1" si="12"/>
        <v>39281380</v>
      </c>
      <c r="AD10" s="31">
        <f t="shared" ca="1" si="3"/>
        <v>1964069</v>
      </c>
      <c r="AE10" s="32">
        <f t="shared" ca="1" si="4"/>
        <v>37517311</v>
      </c>
      <c r="AF10" s="32"/>
      <c r="AG10" s="32">
        <f t="shared" ca="1" si="5"/>
        <v>37517311</v>
      </c>
      <c r="AH10" s="31" t="s">
        <v>19</v>
      </c>
      <c r="AI10" s="34">
        <f t="shared" ca="1" si="6"/>
        <v>55172.516176470592</v>
      </c>
      <c r="AJ10" s="35"/>
      <c r="AK10" s="36" t="s">
        <v>20</v>
      </c>
      <c r="AL10" s="37">
        <f t="shared" si="7"/>
        <v>27226800</v>
      </c>
      <c r="AM10" s="38">
        <f t="shared" ca="1" si="8"/>
        <v>0</v>
      </c>
      <c r="AN10" s="38">
        <f t="shared" ca="1" si="9"/>
        <v>27226800</v>
      </c>
      <c r="AO10" s="38">
        <f t="shared" ca="1" si="10"/>
        <v>12254579.999999998</v>
      </c>
      <c r="AP10" s="39">
        <f t="shared" ca="1" si="11"/>
        <v>37517311</v>
      </c>
    </row>
    <row r="11" spans="1:43" s="40" customFormat="1">
      <c r="A11" s="25">
        <v>5</v>
      </c>
      <c r="B11" s="26" t="s">
        <v>31</v>
      </c>
      <c r="C11" s="26" t="s">
        <v>32</v>
      </c>
      <c r="D11" s="27">
        <v>2076198111</v>
      </c>
      <c r="E11" s="26" t="s">
        <v>33</v>
      </c>
      <c r="F11" s="28" t="s">
        <v>27</v>
      </c>
      <c r="G11" s="29">
        <v>26</v>
      </c>
      <c r="H11" s="30">
        <v>13000000</v>
      </c>
      <c r="I11" s="31">
        <f ca="1">SUMIF($B$7:$B$175,OT!B12,OT!$S$8:$S$160)</f>
        <v>0</v>
      </c>
      <c r="J11" s="30">
        <f ca="1">SUMIF($B$7:$B$136,เงินกะ!B12,เงินกะ!$M$8:$M$100)</f>
        <v>0</v>
      </c>
      <c r="K11" s="31"/>
      <c r="L11" s="31"/>
      <c r="M11" s="31"/>
      <c r="N11" s="31"/>
      <c r="O11" s="31"/>
      <c r="P11" s="31"/>
      <c r="Q11" s="31"/>
      <c r="R11" s="31"/>
      <c r="S11" s="31"/>
      <c r="T11" s="32">
        <f t="shared" ca="1" si="0"/>
        <v>13000000</v>
      </c>
      <c r="U11" s="33"/>
      <c r="V11" s="31">
        <f ca="1">SUMIF($B$7:$B$136,'ขาด-ลา-มาสาย'!B12,'ขาด-ลา-มาสาย'!$K$8:$K$100)</f>
        <v>0</v>
      </c>
      <c r="W11" s="31">
        <f ca="1">SUMIF($B$7:$B$136,'ขาด-ลา-มาสาย'!B12,'ขาด-ลา-มาสาย'!$N$8:$N$100)</f>
        <v>0</v>
      </c>
      <c r="X11" s="31">
        <f ca="1">SUMIF($B$7:$B$136,'ขาด-ลา-มาสาย'!B12,'ขาด-ลา-มาสาย'!$Q$8:$Q$100)</f>
        <v>0</v>
      </c>
      <c r="Y11" s="31">
        <f ca="1">SUMIF($B$7:$B$136,'ขาด-ลา-มาสาย'!B12,'ขาด-ลา-มาสาย'!$T$8:$T$100)</f>
        <v>0</v>
      </c>
      <c r="Z11" s="31">
        <f ca="1">SUMIF($B$7:$B$136,'ขาด-ลา-มาสาย'!B12,'ขาด-ลา-มาสาย'!$W$8:$W$100)</f>
        <v>0</v>
      </c>
      <c r="AA11" s="32">
        <f t="shared" ca="1" si="1"/>
        <v>0</v>
      </c>
      <c r="AB11" s="33">
        <f t="shared" ca="1" si="2"/>
        <v>13000000</v>
      </c>
      <c r="AC11" s="31">
        <f t="shared" ca="1" si="12"/>
        <v>12800000</v>
      </c>
      <c r="AD11" s="31">
        <f t="shared" ca="1" si="3"/>
        <v>640000</v>
      </c>
      <c r="AE11" s="32">
        <f t="shared" ca="1" si="4"/>
        <v>12360000</v>
      </c>
      <c r="AF11" s="32"/>
      <c r="AG11" s="32">
        <f t="shared" ca="1" si="5"/>
        <v>12360000</v>
      </c>
      <c r="AH11" s="31" t="s">
        <v>19</v>
      </c>
      <c r="AI11" s="34">
        <f t="shared" ca="1" si="6"/>
        <v>18176.470588235294</v>
      </c>
      <c r="AJ11" s="35"/>
      <c r="AK11" s="36" t="s">
        <v>34</v>
      </c>
      <c r="AL11" s="37">
        <f t="shared" si="7"/>
        <v>13000000</v>
      </c>
      <c r="AM11" s="38">
        <f t="shared" ca="1" si="8"/>
        <v>0</v>
      </c>
      <c r="AN11" s="38">
        <f t="shared" ca="1" si="9"/>
        <v>13000000</v>
      </c>
      <c r="AO11" s="38">
        <f t="shared" ca="1" si="10"/>
        <v>0</v>
      </c>
      <c r="AP11" s="39">
        <f t="shared" ca="1" si="11"/>
        <v>12360000</v>
      </c>
    </row>
    <row r="12" spans="1:43" s="40" customFormat="1">
      <c r="A12" s="25">
        <v>6</v>
      </c>
      <c r="B12" s="26" t="s">
        <v>35</v>
      </c>
      <c r="C12" s="26" t="s">
        <v>36</v>
      </c>
      <c r="D12" s="27">
        <v>2077772708</v>
      </c>
      <c r="E12" s="26" t="s">
        <v>37</v>
      </c>
      <c r="F12" s="28" t="s">
        <v>27</v>
      </c>
      <c r="G12" s="29">
        <v>26</v>
      </c>
      <c r="H12" s="30">
        <v>10000000</v>
      </c>
      <c r="I12" s="31">
        <f ca="1">SUMIF($B$7:$B$175,OT!B13,OT!$S$8:$S$160)</f>
        <v>0</v>
      </c>
      <c r="J12" s="30">
        <f ca="1">SUMIF($B$7:$B$136,เงินกะ!B13,เงินกะ!$M$8:$M$100)</f>
        <v>0</v>
      </c>
      <c r="K12" s="31"/>
      <c r="L12" s="31"/>
      <c r="M12" s="31"/>
      <c r="N12" s="31"/>
      <c r="O12" s="31"/>
      <c r="P12" s="31"/>
      <c r="Q12" s="31"/>
      <c r="R12" s="31"/>
      <c r="S12" s="31"/>
      <c r="T12" s="32">
        <f t="shared" ca="1" si="0"/>
        <v>10000000</v>
      </c>
      <c r="U12" s="33"/>
      <c r="V12" s="31">
        <f ca="1">SUMIF($B$7:$B$136,'ขาด-ลา-มาสาย'!B13,'ขาด-ลา-มาสาย'!$K$8:$K$100)</f>
        <v>0</v>
      </c>
      <c r="W12" s="31">
        <f ca="1">SUMIF($B$7:$B$136,'ขาด-ลา-มาสาย'!B13,'ขาด-ลา-มาสาย'!$N$8:$N$100)</f>
        <v>0</v>
      </c>
      <c r="X12" s="31">
        <f ca="1">SUMIF($B$7:$B$136,'ขาด-ลา-มาสาย'!B13,'ขาด-ลา-มาสาย'!$Q$8:$Q$100)</f>
        <v>0</v>
      </c>
      <c r="Y12" s="31">
        <f ca="1">SUMIF($B$7:$B$136,'ขาด-ลา-มาสาย'!B13,'ขาด-ลา-มาสาย'!$T$8:$T$100)</f>
        <v>0</v>
      </c>
      <c r="Z12" s="31">
        <f ca="1">SUMIF($B$7:$B$136,'ขาด-ลา-มาสาย'!B13,'ขาด-ลา-มาสาย'!$W$8:$W$100)</f>
        <v>0</v>
      </c>
      <c r="AA12" s="32">
        <f t="shared" ca="1" si="1"/>
        <v>0</v>
      </c>
      <c r="AB12" s="33">
        <f t="shared" ca="1" si="2"/>
        <v>10000000</v>
      </c>
      <c r="AC12" s="31">
        <f t="shared" ca="1" si="12"/>
        <v>9800000</v>
      </c>
      <c r="AD12" s="31">
        <f t="shared" ca="1" si="3"/>
        <v>490000</v>
      </c>
      <c r="AE12" s="32">
        <f t="shared" ca="1" si="4"/>
        <v>9510000</v>
      </c>
      <c r="AF12" s="32"/>
      <c r="AG12" s="32">
        <f t="shared" ca="1" si="5"/>
        <v>9510000</v>
      </c>
      <c r="AH12" s="31" t="s">
        <v>19</v>
      </c>
      <c r="AI12" s="34">
        <f t="shared" ca="1" si="6"/>
        <v>13985.294117647059</v>
      </c>
      <c r="AJ12" s="35"/>
      <c r="AK12" s="36" t="s">
        <v>38</v>
      </c>
      <c r="AL12" s="37">
        <f t="shared" si="7"/>
        <v>10000000</v>
      </c>
      <c r="AM12" s="38">
        <f t="shared" ca="1" si="8"/>
        <v>0</v>
      </c>
      <c r="AN12" s="38">
        <f t="shared" ca="1" si="9"/>
        <v>10000000</v>
      </c>
      <c r="AO12" s="38">
        <f t="shared" ca="1" si="10"/>
        <v>0</v>
      </c>
      <c r="AP12" s="39">
        <f t="shared" ca="1" si="11"/>
        <v>9510000</v>
      </c>
    </row>
    <row r="13" spans="1:43" s="40" customFormat="1">
      <c r="A13" s="25">
        <v>7</v>
      </c>
      <c r="B13" s="26" t="s">
        <v>39</v>
      </c>
      <c r="C13" s="26" t="s">
        <v>40</v>
      </c>
      <c r="D13" s="27" t="s">
        <v>41</v>
      </c>
      <c r="E13" s="26" t="s">
        <v>37</v>
      </c>
      <c r="F13" s="28" t="s">
        <v>27</v>
      </c>
      <c r="G13" s="29">
        <v>26</v>
      </c>
      <c r="H13" s="30">
        <v>6832000</v>
      </c>
      <c r="I13" s="31">
        <f ca="1">SUMIF($B$7:$B$175,OT!B14,OT!$S$8:$S$160)</f>
        <v>0</v>
      </c>
      <c r="J13" s="30">
        <f ca="1">SUMIF($B$7:$B$136,เงินกะ!B14,เงินกะ!$M$8:$M$100)</f>
        <v>0</v>
      </c>
      <c r="K13" s="31"/>
      <c r="L13" s="31"/>
      <c r="M13" s="31"/>
      <c r="N13" s="31"/>
      <c r="O13" s="31"/>
      <c r="P13" s="31"/>
      <c r="Q13" s="31"/>
      <c r="R13" s="31"/>
      <c r="S13" s="31"/>
      <c r="T13" s="32">
        <f t="shared" ca="1" si="0"/>
        <v>6832000</v>
      </c>
      <c r="U13" s="33"/>
      <c r="V13" s="31">
        <f ca="1">SUMIF($B$7:$B$136,'ขาด-ลา-มาสาย'!B14,'ขาด-ลา-มาสาย'!$K$8:$K$100)</f>
        <v>0</v>
      </c>
      <c r="W13" s="31">
        <f ca="1">SUMIF($B$7:$B$136,'ขาด-ลา-มาสาย'!B14,'ขาด-ลา-มาสาย'!$N$8:$N$100)</f>
        <v>0</v>
      </c>
      <c r="X13" s="31">
        <f ca="1">SUMIF($B$7:$B$136,'ขาด-ลา-มาสาย'!B14,'ขาด-ลา-มาสาย'!$Q$8:$Q$100)</f>
        <v>0</v>
      </c>
      <c r="Y13" s="31">
        <f ca="1">SUMIF($B$7:$B$136,'ขาด-ลา-มาสาย'!B14,'ขาด-ลา-มาสาย'!$T$8:$T$100)</f>
        <v>0</v>
      </c>
      <c r="Z13" s="31">
        <f ca="1">SUMIF($B$7:$B$136,'ขาด-ลา-มาสาย'!B14,'ขาด-ลา-มาสาย'!$W$8:$W$100)</f>
        <v>0</v>
      </c>
      <c r="AA13" s="32">
        <f t="shared" ca="1" si="1"/>
        <v>0</v>
      </c>
      <c r="AB13" s="33">
        <f t="shared" ca="1" si="2"/>
        <v>6832000</v>
      </c>
      <c r="AC13" s="31">
        <f t="shared" ca="1" si="12"/>
        <v>6632000</v>
      </c>
      <c r="AD13" s="31">
        <f t="shared" ca="1" si="3"/>
        <v>331600</v>
      </c>
      <c r="AE13" s="32">
        <f t="shared" ca="1" si="4"/>
        <v>6500400</v>
      </c>
      <c r="AF13" s="32"/>
      <c r="AG13" s="32">
        <f t="shared" ca="1" si="5"/>
        <v>6500400</v>
      </c>
      <c r="AH13" s="31" t="s">
        <v>19</v>
      </c>
      <c r="AI13" s="34">
        <f t="shared" ca="1" si="6"/>
        <v>9559.4117647058829</v>
      </c>
      <c r="AJ13" s="35"/>
      <c r="AK13" s="36" t="s">
        <v>42</v>
      </c>
      <c r="AL13" s="37">
        <f t="shared" si="7"/>
        <v>6832000</v>
      </c>
      <c r="AM13" s="38">
        <f t="shared" ca="1" si="8"/>
        <v>0</v>
      </c>
      <c r="AN13" s="38">
        <f t="shared" ca="1" si="9"/>
        <v>6832000</v>
      </c>
      <c r="AO13" s="38">
        <f t="shared" ca="1" si="10"/>
        <v>0</v>
      </c>
      <c r="AP13" s="39">
        <f t="shared" ca="1" si="11"/>
        <v>6500400</v>
      </c>
    </row>
    <row r="14" spans="1:43" s="40" customFormat="1">
      <c r="A14" s="25">
        <v>8</v>
      </c>
      <c r="B14" s="26" t="s">
        <v>43</v>
      </c>
      <c r="C14" s="26" t="s">
        <v>44</v>
      </c>
      <c r="D14" s="27">
        <v>2099701293</v>
      </c>
      <c r="E14" s="26" t="s">
        <v>45</v>
      </c>
      <c r="F14" s="28" t="s">
        <v>27</v>
      </c>
      <c r="G14" s="29">
        <v>26</v>
      </c>
      <c r="H14" s="30">
        <v>6000000</v>
      </c>
      <c r="I14" s="31">
        <f ca="1">SUMIF($B$7:$B$175,OT!B15,OT!$S$8:$S$160)</f>
        <v>0</v>
      </c>
      <c r="J14" s="30">
        <f ca="1">SUMIF($B$7:$B$136,เงินกะ!B15,เงินกะ!$M$8:$M$100)</f>
        <v>0</v>
      </c>
      <c r="K14" s="31"/>
      <c r="L14" s="31"/>
      <c r="M14" s="31"/>
      <c r="N14" s="31"/>
      <c r="O14" s="31"/>
      <c r="P14" s="31"/>
      <c r="Q14" s="31"/>
      <c r="R14" s="31">
        <v>2000000</v>
      </c>
      <c r="S14" s="31"/>
      <c r="T14" s="32">
        <f t="shared" ca="1" si="0"/>
        <v>8000000</v>
      </c>
      <c r="U14" s="33"/>
      <c r="V14" s="31">
        <f ca="1">SUMIF($B$7:$B$136,'ขาด-ลา-มาสาย'!B15,'ขาด-ลา-มาสาย'!$K$8:$K$100)</f>
        <v>0</v>
      </c>
      <c r="W14" s="31">
        <f ca="1">SUMIF($B$7:$B$136,'ขาด-ลา-มาสาย'!B15,'ขาด-ลา-มาสาย'!$N$8:$N$100)</f>
        <v>0</v>
      </c>
      <c r="X14" s="31">
        <f ca="1">SUMIF($B$7:$B$136,'ขาด-ลา-มาสาย'!B15,'ขาด-ลา-มาสาย'!$Q$8:$Q$100)</f>
        <v>0</v>
      </c>
      <c r="Y14" s="31">
        <f ca="1">SUMIF($B$7:$B$136,'ขาด-ลา-มาสาย'!B15,'ขาด-ลา-มาสาย'!$T$8:$T$100)</f>
        <v>0</v>
      </c>
      <c r="Z14" s="31">
        <f ca="1">SUMIF($B$7:$B$136,'ขาด-ลา-มาสาย'!B15,'ขาด-ลา-มาสาย'!$W$8:$W$100)</f>
        <v>0</v>
      </c>
      <c r="AA14" s="32">
        <f t="shared" ca="1" si="1"/>
        <v>0</v>
      </c>
      <c r="AB14" s="33">
        <f t="shared" ca="1" si="2"/>
        <v>8000000</v>
      </c>
      <c r="AC14" s="31">
        <f t="shared" ca="1" si="12"/>
        <v>7800000</v>
      </c>
      <c r="AD14" s="31">
        <f t="shared" ca="1" si="3"/>
        <v>390000</v>
      </c>
      <c r="AE14" s="32">
        <f t="shared" ca="1" si="4"/>
        <v>7610000</v>
      </c>
      <c r="AF14" s="32"/>
      <c r="AG14" s="32">
        <f t="shared" ca="1" si="5"/>
        <v>7610000</v>
      </c>
      <c r="AH14" s="31" t="s">
        <v>19</v>
      </c>
      <c r="AI14" s="34">
        <f t="shared" ca="1" si="6"/>
        <v>11191.176470588236</v>
      </c>
      <c r="AJ14" s="35"/>
      <c r="AK14" s="36" t="s">
        <v>46</v>
      </c>
      <c r="AL14" s="37">
        <f t="shared" si="7"/>
        <v>6000000</v>
      </c>
      <c r="AM14" s="38">
        <f t="shared" ca="1" si="8"/>
        <v>0</v>
      </c>
      <c r="AN14" s="38">
        <f t="shared" ca="1" si="9"/>
        <v>6000000</v>
      </c>
      <c r="AO14" s="38">
        <f t="shared" ca="1" si="10"/>
        <v>2000000</v>
      </c>
      <c r="AP14" s="39">
        <f t="shared" ca="1" si="11"/>
        <v>7610000</v>
      </c>
    </row>
    <row r="15" spans="1:43" s="40" customFormat="1">
      <c r="A15" s="25">
        <v>9</v>
      </c>
      <c r="B15" s="26" t="s">
        <v>47</v>
      </c>
      <c r="C15" s="26" t="s">
        <v>48</v>
      </c>
      <c r="D15" s="27">
        <v>2056516668</v>
      </c>
      <c r="E15" s="26" t="s">
        <v>45</v>
      </c>
      <c r="F15" s="28" t="s">
        <v>27</v>
      </c>
      <c r="G15" s="29">
        <v>26</v>
      </c>
      <c r="H15" s="30">
        <v>4500000</v>
      </c>
      <c r="I15" s="31">
        <f ca="1">SUMIF($B$7:$B$175,OT!B16,OT!$S$8:$S$160)</f>
        <v>0</v>
      </c>
      <c r="J15" s="30">
        <f ca="1">SUMIF($B$7:$B$136,เงินกะ!B16,เงินกะ!$M$8:$M$100)</f>
        <v>0</v>
      </c>
      <c r="K15" s="31"/>
      <c r="L15" s="31"/>
      <c r="M15" s="31"/>
      <c r="N15" s="31"/>
      <c r="O15" s="31"/>
      <c r="P15" s="31"/>
      <c r="Q15" s="31"/>
      <c r="R15" s="31">
        <v>1000000</v>
      </c>
      <c r="S15" s="31">
        <f>400000/26*25.5</f>
        <v>392307.69230769231</v>
      </c>
      <c r="T15" s="32">
        <f t="shared" ca="1" si="0"/>
        <v>5892307.692307692</v>
      </c>
      <c r="U15" s="33">
        <v>93500</v>
      </c>
      <c r="V15" s="31">
        <f ca="1">SUMIF($B$7:$B$136,'ขาด-ลา-มาสาย'!B16,'ขาด-ลา-มาสาย'!$K$8:$K$100)</f>
        <v>0</v>
      </c>
      <c r="W15" s="31">
        <f ca="1">SUMIF($B$7:$B$136,'ขาด-ลา-มาสาย'!B16,'ขาด-ลา-มาสาย'!$N$8:$N$100)</f>
        <v>0</v>
      </c>
      <c r="X15" s="31">
        <f ca="1">SUMIF($B$7:$B$136,'ขาด-ลา-มาสาย'!B16,'ขาด-ลา-มาสาย'!$Q$8:$Q$100)</f>
        <v>0</v>
      </c>
      <c r="Y15" s="31">
        <f ca="1">SUMIF($B$7:$B$136,'ขาด-ลา-มาสาย'!B16,'ขาด-ลา-มาสาย'!$T$8:$T$100)</f>
        <v>86538.461538461532</v>
      </c>
      <c r="Z15" s="31">
        <f ca="1">SUMIF($B$7:$B$136,'ขาด-ลา-มาสาย'!B16,'ขาด-ลา-มาสาย'!$W$8:$W$100)</f>
        <v>0</v>
      </c>
      <c r="AA15" s="32">
        <f t="shared" ca="1" si="1"/>
        <v>180038.46153846153</v>
      </c>
      <c r="AB15" s="33">
        <f t="shared" ca="1" si="2"/>
        <v>5712269.2307692301</v>
      </c>
      <c r="AC15" s="31">
        <f t="shared" ca="1" si="12"/>
        <v>5512269.2307692301</v>
      </c>
      <c r="AD15" s="31">
        <f t="shared" ca="1" si="3"/>
        <v>275613.4615384615</v>
      </c>
      <c r="AE15" s="32">
        <f t="shared" ca="1" si="4"/>
        <v>5436655.7692307681</v>
      </c>
      <c r="AF15" s="32"/>
      <c r="AG15" s="32">
        <f t="shared" ca="1" si="5"/>
        <v>5436655.7692307681</v>
      </c>
      <c r="AH15" s="31" t="s">
        <v>49</v>
      </c>
      <c r="AI15" s="34">
        <f t="shared" ca="1" si="6"/>
        <v>7995.082013574659</v>
      </c>
      <c r="AJ15" s="35"/>
      <c r="AK15" s="36" t="s">
        <v>50</v>
      </c>
      <c r="AL15" s="37">
        <f t="shared" si="7"/>
        <v>4500000</v>
      </c>
      <c r="AM15" s="38">
        <f t="shared" ca="1" si="8"/>
        <v>180038.46153846153</v>
      </c>
      <c r="AN15" s="38">
        <f t="shared" ca="1" si="9"/>
        <v>4319961.538461538</v>
      </c>
      <c r="AO15" s="38">
        <f t="shared" ca="1" si="10"/>
        <v>1392307.6923076923</v>
      </c>
      <c r="AP15" s="39">
        <f t="shared" ca="1" si="11"/>
        <v>5436655.7692307681</v>
      </c>
    </row>
    <row r="16" spans="1:43" s="40" customFormat="1">
      <c r="A16" s="25">
        <v>10</v>
      </c>
      <c r="B16" s="26" t="s">
        <v>51</v>
      </c>
      <c r="C16" s="26" t="s">
        <v>52</v>
      </c>
      <c r="D16" s="27">
        <v>2078150776</v>
      </c>
      <c r="E16" s="26" t="s">
        <v>45</v>
      </c>
      <c r="F16" s="28" t="s">
        <v>27</v>
      </c>
      <c r="G16" s="29">
        <v>26</v>
      </c>
      <c r="H16" s="29">
        <v>3500000</v>
      </c>
      <c r="I16" s="31">
        <f ca="1">SUMIF($B$7:$B$175,OT!B17,OT!$S$8:$S$160)</f>
        <v>0</v>
      </c>
      <c r="J16" s="30">
        <f ca="1">SUMIF($B$7:$B$136,เงินกะ!B17,เงินกะ!$M$8:$M$100)</f>
        <v>0</v>
      </c>
      <c r="K16" s="31"/>
      <c r="L16" s="31"/>
      <c r="M16" s="31"/>
      <c r="N16" s="31"/>
      <c r="O16" s="31"/>
      <c r="P16" s="31"/>
      <c r="Q16" s="31"/>
      <c r="R16" s="31">
        <v>1000000</v>
      </c>
      <c r="S16" s="31">
        <f>400000/26*23</f>
        <v>353846.15384615387</v>
      </c>
      <c r="T16" s="32">
        <f t="shared" ca="1" si="0"/>
        <v>4853846.153846154</v>
      </c>
      <c r="U16" s="33"/>
      <c r="V16" s="31">
        <f ca="1">SUMIF($B$7:$B$136,'ขาด-ลา-มาสาย'!B17,'ขาด-ลา-มาสาย'!$K$8:$K$100)</f>
        <v>0</v>
      </c>
      <c r="W16" s="31">
        <f ca="1">SUMIF($B$7:$B$136,'ขาด-ลา-มาสาย'!B17,'ขาด-ลา-มาสาย'!$N$8:$N$100)</f>
        <v>0</v>
      </c>
      <c r="X16" s="31">
        <f ca="1">SUMIF($B$7:$B$136,'ขาด-ลา-มาสาย'!B17,'ขาด-ลา-มาสาย'!$Q$8:$Q$100)</f>
        <v>0</v>
      </c>
      <c r="Y16" s="31">
        <f ca="1">SUMIF($B$7:$B$136,'ขาด-ลา-มาสาย'!B17,'ขาด-ลา-มาสาย'!$T$8:$T$100)</f>
        <v>0</v>
      </c>
      <c r="Z16" s="31">
        <f ca="1">SUMIF($B$7:$B$136,'ขาด-ลา-มาสาย'!B17,'ขาด-ลา-มาสาย'!$W$8:$W$100)</f>
        <v>403846.15384615387</v>
      </c>
      <c r="AA16" s="32">
        <f t="shared" ca="1" si="1"/>
        <v>403846.15384615387</v>
      </c>
      <c r="AB16" s="33">
        <f t="shared" ca="1" si="2"/>
        <v>4450000</v>
      </c>
      <c r="AC16" s="31">
        <f t="shared" ca="1" si="12"/>
        <v>4250000</v>
      </c>
      <c r="AD16" s="31">
        <f t="shared" ca="1" si="3"/>
        <v>212500</v>
      </c>
      <c r="AE16" s="32">
        <f t="shared" ca="1" si="4"/>
        <v>4237500</v>
      </c>
      <c r="AF16" s="32"/>
      <c r="AG16" s="32">
        <f t="shared" ca="1" si="5"/>
        <v>4237500</v>
      </c>
      <c r="AH16" s="31"/>
      <c r="AI16" s="34"/>
      <c r="AJ16" s="35"/>
      <c r="AK16" s="36"/>
      <c r="AL16" s="37"/>
      <c r="AM16" s="38"/>
      <c r="AN16" s="38"/>
      <c r="AO16" s="38"/>
      <c r="AP16" s="39"/>
    </row>
    <row r="17" spans="1:42" s="40" customFormat="1">
      <c r="A17" s="25">
        <v>11</v>
      </c>
      <c r="B17" s="26" t="s">
        <v>53</v>
      </c>
      <c r="C17" s="26" t="s">
        <v>54</v>
      </c>
      <c r="D17" s="27">
        <v>2076861520</v>
      </c>
      <c r="E17" s="26" t="s">
        <v>55</v>
      </c>
      <c r="F17" s="28" t="s">
        <v>27</v>
      </c>
      <c r="G17" s="29">
        <v>26</v>
      </c>
      <c r="H17" s="30">
        <v>3500000</v>
      </c>
      <c r="I17" s="31">
        <f ca="1">SUMIF($B$7:$B$175,OT!B18,OT!$S$8:$S$160)</f>
        <v>0</v>
      </c>
      <c r="J17" s="30">
        <f ca="1">SUMIF($B$7:$B$136,เงินกะ!B18,เงินกะ!$M$8:$M$100)</f>
        <v>0</v>
      </c>
      <c r="K17" s="31"/>
      <c r="L17" s="31"/>
      <c r="M17" s="31"/>
      <c r="N17" s="31"/>
      <c r="O17" s="31"/>
      <c r="P17" s="31"/>
      <c r="Q17" s="31"/>
      <c r="R17" s="31">
        <v>1000000</v>
      </c>
      <c r="S17" s="31">
        <v>400000</v>
      </c>
      <c r="T17" s="32">
        <f t="shared" ca="1" si="0"/>
        <v>4900000</v>
      </c>
      <c r="U17" s="33"/>
      <c r="V17" s="31">
        <f ca="1">SUMIF($B$7:$B$136,'ขาด-ลา-มาสาย'!B18,'ขาด-ลา-มาสาย'!$K$8:$K$100)</f>
        <v>0</v>
      </c>
      <c r="W17" s="31">
        <f ca="1">SUMIF($B$7:$B$136,'ขาด-ลา-มาสาย'!B18,'ขาด-ลา-มาสาย'!$N$8:$N$100)</f>
        <v>0</v>
      </c>
      <c r="X17" s="31">
        <f ca="1">SUMIF($B$7:$B$136,'ขาด-ลา-มาสาย'!B18,'ขาด-ลา-มาสาย'!$Q$8:$Q$100)</f>
        <v>0</v>
      </c>
      <c r="Y17" s="31">
        <f ca="1">SUMIF($B$7:$B$136,'ขาด-ลา-มาสาย'!B18,'ขาด-ลา-มาสาย'!$T$8:$T$100)</f>
        <v>0</v>
      </c>
      <c r="Z17" s="31">
        <f ca="1">SUMIF($B$7:$B$136,'ขาด-ลา-มาสาย'!B18,'ขาด-ลา-มาสาย'!$W$8:$W$100)</f>
        <v>0</v>
      </c>
      <c r="AA17" s="32">
        <f t="shared" ca="1" si="1"/>
        <v>0</v>
      </c>
      <c r="AB17" s="33">
        <f t="shared" ca="1" si="2"/>
        <v>4900000</v>
      </c>
      <c r="AC17" s="31">
        <f t="shared" ca="1" si="12"/>
        <v>4700000</v>
      </c>
      <c r="AD17" s="31">
        <f t="shared" ca="1" si="3"/>
        <v>235000</v>
      </c>
      <c r="AE17" s="32">
        <f t="shared" ca="1" si="4"/>
        <v>4665000</v>
      </c>
      <c r="AF17" s="32"/>
      <c r="AG17" s="32">
        <f t="shared" ca="1" si="5"/>
        <v>4665000</v>
      </c>
      <c r="AH17" s="31"/>
      <c r="AI17" s="34">
        <f t="shared" ref="AI17:AI27" ca="1" si="13">AE17/680</f>
        <v>6860.2941176470586</v>
      </c>
      <c r="AJ17" s="35"/>
      <c r="AK17" s="36" t="s">
        <v>56</v>
      </c>
      <c r="AL17" s="37">
        <f t="shared" ref="AL17:AL27" si="14">H17</f>
        <v>3500000</v>
      </c>
      <c r="AM17" s="38">
        <f t="shared" ref="AM17:AM27" ca="1" si="15">AA17</f>
        <v>0</v>
      </c>
      <c r="AN17" s="38">
        <f t="shared" ref="AN17:AN27" ca="1" si="16">AL17-AM17</f>
        <v>3500000</v>
      </c>
      <c r="AO17" s="38">
        <f t="shared" ref="AO17:AO27" ca="1" si="17">SUM(I17:S17)</f>
        <v>1400000</v>
      </c>
      <c r="AP17" s="39">
        <f t="shared" ref="AP17:AP27" ca="1" si="18">AE17</f>
        <v>4665000</v>
      </c>
    </row>
    <row r="18" spans="1:42" s="40" customFormat="1">
      <c r="A18" s="25">
        <v>12</v>
      </c>
      <c r="B18" s="26" t="s">
        <v>57</v>
      </c>
      <c r="C18" s="26" t="s">
        <v>58</v>
      </c>
      <c r="D18" s="27">
        <v>2097545680</v>
      </c>
      <c r="E18" s="26" t="s">
        <v>59</v>
      </c>
      <c r="F18" s="28" t="s">
        <v>27</v>
      </c>
      <c r="G18" s="29">
        <v>26</v>
      </c>
      <c r="H18" s="30">
        <v>5000000</v>
      </c>
      <c r="I18" s="31">
        <f ca="1">SUMIF($B$7:$B$175,OT!B19,OT!$S$8:$S$160)</f>
        <v>0</v>
      </c>
      <c r="J18" s="30">
        <f ca="1">SUMIF($B$7:$B$136,เงินกะ!B19,เงินกะ!$M$8:$M$100)</f>
        <v>0</v>
      </c>
      <c r="K18" s="31"/>
      <c r="L18" s="31"/>
      <c r="M18" s="31"/>
      <c r="N18" s="31"/>
      <c r="O18" s="31"/>
      <c r="P18" s="31"/>
      <c r="Q18" s="31"/>
      <c r="R18" s="31">
        <v>5000000</v>
      </c>
      <c r="S18" s="31">
        <f>400000/26*24.5</f>
        <v>376923.07692307694</v>
      </c>
      <c r="T18" s="32">
        <f t="shared" ca="1" si="0"/>
        <v>10376923.076923076</v>
      </c>
      <c r="U18" s="33">
        <v>88000</v>
      </c>
      <c r="V18" s="31">
        <f ca="1">SUMIF($B$7:$B$136,'ขาด-ลา-มาสาย'!B19,'ขาด-ลา-มาสาย'!$K$8:$K$100)</f>
        <v>0</v>
      </c>
      <c r="W18" s="31">
        <f ca="1">SUMIF($B$7:$B$136,'ขาด-ลา-มาสาย'!B19,'ขาด-ลา-มาสาย'!$N$8:$N$100)</f>
        <v>0</v>
      </c>
      <c r="X18" s="31">
        <f ca="1">SUMIF($B$7:$B$136,'ขาด-ลา-มาสาย'!B19,'ขาด-ลา-มาสาย'!$Q$8:$Q$100)</f>
        <v>0</v>
      </c>
      <c r="Y18" s="31">
        <f ca="1">SUMIF($B$7:$B$136,'ขาด-ลา-มาสาย'!B19,'ขาด-ลา-มาสาย'!$T$8:$T$100)</f>
        <v>0</v>
      </c>
      <c r="Z18" s="31">
        <f ca="1">SUMIF($B$7:$B$136,'ขาด-ลา-มาสาย'!B19,'ขาด-ลา-มาสาย'!$W$8:$W$100)</f>
        <v>0</v>
      </c>
      <c r="AA18" s="32">
        <f t="shared" ca="1" si="1"/>
        <v>88000</v>
      </c>
      <c r="AB18" s="33">
        <f t="shared" ca="1" si="2"/>
        <v>10288923.076923076</v>
      </c>
      <c r="AC18" s="31">
        <f t="shared" ca="1" si="12"/>
        <v>10088923.076923076</v>
      </c>
      <c r="AD18" s="31">
        <f t="shared" ca="1" si="3"/>
        <v>504446.15384615381</v>
      </c>
      <c r="AE18" s="32">
        <f t="shared" ca="1" si="4"/>
        <v>9784476.9230769221</v>
      </c>
      <c r="AF18" s="32"/>
      <c r="AG18" s="32">
        <f t="shared" ca="1" si="5"/>
        <v>9784476.9230769221</v>
      </c>
      <c r="AH18" s="31" t="s">
        <v>49</v>
      </c>
      <c r="AI18" s="34">
        <f t="shared" ca="1" si="13"/>
        <v>14388.936651583708</v>
      </c>
      <c r="AJ18" s="35"/>
      <c r="AK18" s="36" t="s">
        <v>60</v>
      </c>
      <c r="AL18" s="37">
        <f t="shared" si="14"/>
        <v>5000000</v>
      </c>
      <c r="AM18" s="38">
        <f t="shared" ca="1" si="15"/>
        <v>88000</v>
      </c>
      <c r="AN18" s="38">
        <f t="shared" ca="1" si="16"/>
        <v>4912000</v>
      </c>
      <c r="AO18" s="38">
        <f t="shared" ca="1" si="17"/>
        <v>5376923.076923077</v>
      </c>
      <c r="AP18" s="39">
        <f t="shared" ca="1" si="18"/>
        <v>9784476.9230769221</v>
      </c>
    </row>
    <row r="19" spans="1:42" s="40" customFormat="1">
      <c r="A19" s="25">
        <v>13</v>
      </c>
      <c r="B19" s="26" t="s">
        <v>61</v>
      </c>
      <c r="C19" s="26" t="s">
        <v>62</v>
      </c>
      <c r="D19" s="27">
        <v>2092416077</v>
      </c>
      <c r="E19" s="26" t="s">
        <v>63</v>
      </c>
      <c r="F19" s="28" t="s">
        <v>27</v>
      </c>
      <c r="G19" s="29">
        <v>26</v>
      </c>
      <c r="H19" s="30">
        <f>15500*680.67</f>
        <v>10550385</v>
      </c>
      <c r="I19" s="31">
        <f ca="1">SUMIF($B$7:$B$175,OT!B20,OT!$S$8:$S$160)</f>
        <v>0</v>
      </c>
      <c r="J19" s="30">
        <f ca="1">SUMIF($B$7:$B$136,เงินกะ!B20,เงินกะ!$M$8:$M$100)</f>
        <v>0</v>
      </c>
      <c r="K19" s="31"/>
      <c r="L19" s="31"/>
      <c r="M19" s="31"/>
      <c r="N19" s="31"/>
      <c r="O19" s="31"/>
      <c r="P19" s="31"/>
      <c r="Q19" s="31"/>
      <c r="R19" s="31"/>
      <c r="S19" s="31"/>
      <c r="T19" s="32">
        <f t="shared" ca="1" si="0"/>
        <v>10550385</v>
      </c>
      <c r="U19" s="33"/>
      <c r="V19" s="31">
        <f ca="1">SUMIF($B$7:$B$136,'ขาด-ลา-มาสาย'!B20,'ขาด-ลา-มาสาย'!$K$8:$K$100)</f>
        <v>0</v>
      </c>
      <c r="W19" s="31">
        <f ca="1">SUMIF($B$7:$B$136,'ขาด-ลา-มาสาย'!B20,'ขาด-ลา-มาสาย'!$N$8:$N$100)</f>
        <v>0</v>
      </c>
      <c r="X19" s="31">
        <f ca="1">SUMIF($B$7:$B$136,'ขาด-ลา-มาสาย'!B20,'ขาด-ลา-มาสาย'!$Q$8:$Q$100)</f>
        <v>0</v>
      </c>
      <c r="Y19" s="31">
        <f ca="1">SUMIF($B$7:$B$136,'ขาด-ลา-มาสาย'!B20,'ขาด-ลา-มาสาย'!$T$8:$T$100)</f>
        <v>0</v>
      </c>
      <c r="Z19" s="31">
        <f ca="1">SUMIF($B$7:$B$136,'ขาด-ลา-มาสาย'!B20,'ขาด-ลา-มาสาย'!$W$8:$W$100)</f>
        <v>0</v>
      </c>
      <c r="AA19" s="32">
        <f t="shared" ca="1" si="1"/>
        <v>0</v>
      </c>
      <c r="AB19" s="33">
        <f t="shared" ca="1" si="2"/>
        <v>10550385</v>
      </c>
      <c r="AC19" s="31">
        <f t="shared" ca="1" si="12"/>
        <v>10350385</v>
      </c>
      <c r="AD19" s="31">
        <f t="shared" ca="1" si="3"/>
        <v>517519.25</v>
      </c>
      <c r="AE19" s="32">
        <f t="shared" ca="1" si="4"/>
        <v>10032865.75</v>
      </c>
      <c r="AF19" s="32"/>
      <c r="AG19" s="32">
        <f t="shared" ca="1" si="5"/>
        <v>10032865.75</v>
      </c>
      <c r="AH19" s="31" t="s">
        <v>19</v>
      </c>
      <c r="AI19" s="34">
        <f t="shared" ca="1" si="13"/>
        <v>14754.214338235293</v>
      </c>
      <c r="AJ19" s="35"/>
      <c r="AK19" s="36" t="s">
        <v>20</v>
      </c>
      <c r="AL19" s="37">
        <f t="shared" si="14"/>
        <v>10550385</v>
      </c>
      <c r="AM19" s="38">
        <f t="shared" ca="1" si="15"/>
        <v>0</v>
      </c>
      <c r="AN19" s="38">
        <f t="shared" ca="1" si="16"/>
        <v>10550385</v>
      </c>
      <c r="AO19" s="38">
        <f t="shared" ca="1" si="17"/>
        <v>0</v>
      </c>
      <c r="AP19" s="39">
        <f t="shared" ca="1" si="18"/>
        <v>10032865.75</v>
      </c>
    </row>
    <row r="20" spans="1:42" s="40" customFormat="1">
      <c r="A20" s="25">
        <v>14</v>
      </c>
      <c r="B20" s="26" t="s">
        <v>64</v>
      </c>
      <c r="C20" s="26" t="s">
        <v>65</v>
      </c>
      <c r="D20" s="27">
        <v>2023332299</v>
      </c>
      <c r="E20" s="26" t="s">
        <v>66</v>
      </c>
      <c r="F20" s="28" t="s">
        <v>27</v>
      </c>
      <c r="G20" s="29">
        <v>26</v>
      </c>
      <c r="H20" s="30">
        <v>5000000</v>
      </c>
      <c r="I20" s="31">
        <f ca="1">SUMIF($B$7:$B$175,OT!B21,OT!$S$8:$S$160)</f>
        <v>0</v>
      </c>
      <c r="J20" s="30">
        <f ca="1">SUMIF($B$7:$B$136,เงินกะ!B21,เงินกะ!$M$8:$M$100)</f>
        <v>0</v>
      </c>
      <c r="K20" s="31"/>
      <c r="L20" s="31"/>
      <c r="M20" s="31"/>
      <c r="N20" s="31"/>
      <c r="O20" s="31"/>
      <c r="P20" s="31"/>
      <c r="Q20" s="31"/>
      <c r="R20" s="31">
        <v>5000000</v>
      </c>
      <c r="S20" s="31">
        <v>346153.84615384601</v>
      </c>
      <c r="T20" s="32">
        <f t="shared" ca="1" si="0"/>
        <v>10346153.846153846</v>
      </c>
      <c r="U20" s="33">
        <v>88000</v>
      </c>
      <c r="V20" s="31">
        <f ca="1">SUMIF($B$7:$B$136,'ขาด-ลา-มาสาย'!B21,'ขาด-ลา-มาสาย'!$K$8:$K$100)</f>
        <v>0</v>
      </c>
      <c r="W20" s="31">
        <f ca="1">SUMIF($B$7:$B$136,'ขาด-ลา-มาสาย'!B21,'ขาด-ลา-มาสาย'!$N$8:$N$100)</f>
        <v>0</v>
      </c>
      <c r="X20" s="31">
        <f ca="1">SUMIF($B$7:$B$136,'ขาด-ลา-มาสาย'!B21,'ขาด-ลา-มาสาย'!$Q$8:$Q$100)</f>
        <v>0</v>
      </c>
      <c r="Y20" s="31">
        <f ca="1">SUMIF($B$7:$B$136,'ขาด-ลา-มาสาย'!B21,'ขาด-ลา-มาสาย'!$T$8:$T$100)</f>
        <v>0</v>
      </c>
      <c r="Z20" s="31">
        <f ca="1">SUMIF($B$7:$B$136,'ขาด-ลา-มาสาย'!B21,'ขาด-ลา-มาสาย'!$W$8:$W$100)</f>
        <v>0</v>
      </c>
      <c r="AA20" s="32">
        <f t="shared" ca="1" si="1"/>
        <v>88000</v>
      </c>
      <c r="AB20" s="33">
        <f t="shared" ca="1" si="2"/>
        <v>10258153.846153846</v>
      </c>
      <c r="AC20" s="31">
        <f t="shared" ca="1" si="12"/>
        <v>10058153.846153846</v>
      </c>
      <c r="AD20" s="31">
        <f t="shared" ca="1" si="3"/>
        <v>502907.69230769231</v>
      </c>
      <c r="AE20" s="32">
        <f t="shared" ca="1" si="4"/>
        <v>9755246.153846154</v>
      </c>
      <c r="AF20" s="32"/>
      <c r="AG20" s="32">
        <f t="shared" ca="1" si="5"/>
        <v>9755246.153846154</v>
      </c>
      <c r="AH20" s="31" t="s">
        <v>49</v>
      </c>
      <c r="AI20" s="34">
        <f t="shared" ca="1" si="13"/>
        <v>14345.950226244344</v>
      </c>
      <c r="AJ20" s="35"/>
      <c r="AK20" s="36" t="s">
        <v>67</v>
      </c>
      <c r="AL20" s="37">
        <f t="shared" si="14"/>
        <v>5000000</v>
      </c>
      <c r="AM20" s="38">
        <f t="shared" ca="1" si="15"/>
        <v>88000</v>
      </c>
      <c r="AN20" s="38">
        <f t="shared" ca="1" si="16"/>
        <v>4912000</v>
      </c>
      <c r="AO20" s="38">
        <f t="shared" ca="1" si="17"/>
        <v>5346153.846153846</v>
      </c>
      <c r="AP20" s="39">
        <f t="shared" ca="1" si="18"/>
        <v>9755246.153846154</v>
      </c>
    </row>
    <row r="21" spans="1:42" s="40" customFormat="1">
      <c r="A21" s="25">
        <v>15</v>
      </c>
      <c r="B21" s="26" t="s">
        <v>68</v>
      </c>
      <c r="C21" s="26" t="s">
        <v>69</v>
      </c>
      <c r="D21" s="27">
        <v>2078916853</v>
      </c>
      <c r="E21" s="26" t="s">
        <v>66</v>
      </c>
      <c r="F21" s="28" t="s">
        <v>27</v>
      </c>
      <c r="G21" s="29">
        <v>26</v>
      </c>
      <c r="H21" s="30">
        <v>4000000</v>
      </c>
      <c r="I21" s="31">
        <f ca="1">SUMIF($B$7:$B$175,OT!B22,OT!$S$8:$S$160)</f>
        <v>0</v>
      </c>
      <c r="J21" s="30">
        <f ca="1">SUMIF($B$7:$B$136,เงินกะ!B22,เงินกะ!$M$8:$M$100)</f>
        <v>0</v>
      </c>
      <c r="K21" s="31"/>
      <c r="L21" s="31"/>
      <c r="M21" s="31"/>
      <c r="N21" s="31"/>
      <c r="O21" s="31"/>
      <c r="P21" s="31"/>
      <c r="Q21" s="31"/>
      <c r="R21" s="31">
        <v>4000000</v>
      </c>
      <c r="S21" s="31">
        <f>400000/26*25</f>
        <v>384615.38461538462</v>
      </c>
      <c r="T21" s="32">
        <f t="shared" ca="1" si="0"/>
        <v>8384615.384615385</v>
      </c>
      <c r="U21" s="33"/>
      <c r="V21" s="31">
        <f ca="1">SUMIF($B$7:$B$136,'ขาด-ลา-มาสาย'!B22,'ขาด-ลา-มาสาย'!$K$8:$K$100)</f>
        <v>0</v>
      </c>
      <c r="W21" s="31">
        <f ca="1">SUMIF($B$7:$B$136,'ขาด-ลา-มาสาย'!B22,'ขาด-ลา-มาสาย'!$N$8:$N$100)</f>
        <v>0</v>
      </c>
      <c r="X21" s="31">
        <f ca="1">SUMIF($B$7:$B$136,'ขาด-ลา-มาสาย'!B22,'ขาด-ลา-มาสาย'!$Q$8:$Q$100)</f>
        <v>0</v>
      </c>
      <c r="Y21" s="31">
        <f ca="1">SUMIF($B$7:$B$136,'ขาด-ลา-มาสาย'!B22,'ขาด-ลา-มาสาย'!$T$8:$T$100)</f>
        <v>0</v>
      </c>
      <c r="Z21" s="31">
        <f ca="1">SUMIF($B$7:$B$136,'ขาด-ลา-มาสาย'!B22,'ขาด-ลา-มาสาย'!$W$8:$W$100)</f>
        <v>0</v>
      </c>
      <c r="AA21" s="32">
        <f t="shared" ca="1" si="1"/>
        <v>0</v>
      </c>
      <c r="AB21" s="33">
        <f t="shared" ca="1" si="2"/>
        <v>8384615.384615385</v>
      </c>
      <c r="AC21" s="31">
        <f t="shared" ca="1" si="12"/>
        <v>8184615.384615385</v>
      </c>
      <c r="AD21" s="31">
        <f t="shared" ca="1" si="3"/>
        <v>409230.76923076925</v>
      </c>
      <c r="AE21" s="32">
        <f t="shared" ca="1" si="4"/>
        <v>7975384.615384616</v>
      </c>
      <c r="AF21" s="32"/>
      <c r="AG21" s="32">
        <f t="shared" ca="1" si="5"/>
        <v>7975384.615384616</v>
      </c>
      <c r="AH21" s="31" t="s">
        <v>49</v>
      </c>
      <c r="AI21" s="34">
        <f t="shared" ca="1" si="13"/>
        <v>11728.506787330318</v>
      </c>
      <c r="AJ21" s="35"/>
      <c r="AK21" s="36" t="s">
        <v>70</v>
      </c>
      <c r="AL21" s="37">
        <f t="shared" si="14"/>
        <v>4000000</v>
      </c>
      <c r="AM21" s="38">
        <f t="shared" ca="1" si="15"/>
        <v>0</v>
      </c>
      <c r="AN21" s="38">
        <f t="shared" ca="1" si="16"/>
        <v>4000000</v>
      </c>
      <c r="AO21" s="38">
        <f t="shared" ca="1" si="17"/>
        <v>4384615.384615385</v>
      </c>
      <c r="AP21" s="39">
        <f t="shared" ca="1" si="18"/>
        <v>7975384.615384616</v>
      </c>
    </row>
    <row r="22" spans="1:42" s="40" customFormat="1">
      <c r="A22" s="25">
        <v>16</v>
      </c>
      <c r="B22" s="26" t="s">
        <v>71</v>
      </c>
      <c r="C22" s="26" t="s">
        <v>72</v>
      </c>
      <c r="D22" s="27"/>
      <c r="E22" s="26" t="s">
        <v>73</v>
      </c>
      <c r="F22" s="28" t="s">
        <v>27</v>
      </c>
      <c r="G22" s="29">
        <v>26</v>
      </c>
      <c r="H22" s="30">
        <f>15500*680.67</f>
        <v>10550385</v>
      </c>
      <c r="I22" s="31">
        <f ca="1">SUMIF($B$7:$B$175,OT!B23,OT!$S$8:$S$160)</f>
        <v>0</v>
      </c>
      <c r="J22" s="30">
        <f ca="1">SUMIF($B$7:$B$136,เงินกะ!B23,เงินกะ!$M$8:$M$100)</f>
        <v>0</v>
      </c>
      <c r="K22" s="31"/>
      <c r="L22" s="31"/>
      <c r="M22" s="31"/>
      <c r="N22" s="31"/>
      <c r="O22" s="31"/>
      <c r="P22" s="31"/>
      <c r="Q22" s="31"/>
      <c r="R22" s="31"/>
      <c r="S22" s="31"/>
      <c r="T22" s="32">
        <f t="shared" ca="1" si="0"/>
        <v>10550385</v>
      </c>
      <c r="U22" s="33"/>
      <c r="V22" s="31">
        <f ca="1">SUMIF($B$7:$B$136,'ขาด-ลา-มาสาย'!B23,'ขาด-ลา-มาสาย'!$K$8:$K$100)</f>
        <v>0</v>
      </c>
      <c r="W22" s="31">
        <f ca="1">SUMIF($B$7:$B$136,'ขาด-ลา-มาสาย'!B23,'ขาด-ลา-มาสาย'!$N$8:$N$100)</f>
        <v>0</v>
      </c>
      <c r="X22" s="31">
        <f ca="1">SUMIF($B$7:$B$136,'ขาด-ลา-มาสาย'!B23,'ขาด-ลา-มาสาย'!$Q$8:$Q$100)</f>
        <v>0</v>
      </c>
      <c r="Y22" s="31">
        <f ca="1">SUMIF($B$7:$B$136,'ขาด-ลา-มาสาย'!B23,'ขาด-ลา-มาสาย'!$T$8:$T$100)</f>
        <v>0</v>
      </c>
      <c r="Z22" s="31">
        <f ca="1">SUMIF($B$7:$B$136,'ขาด-ลา-มาสาย'!B23,'ขาด-ลา-มาสาย'!$W$8:$W$100)</f>
        <v>0</v>
      </c>
      <c r="AA22" s="32">
        <f t="shared" ca="1" si="1"/>
        <v>0</v>
      </c>
      <c r="AB22" s="33">
        <f t="shared" ca="1" si="2"/>
        <v>10550385</v>
      </c>
      <c r="AC22" s="31">
        <f t="shared" ca="1" si="12"/>
        <v>10350385</v>
      </c>
      <c r="AD22" s="31">
        <f t="shared" ca="1" si="3"/>
        <v>517519.25</v>
      </c>
      <c r="AE22" s="32">
        <f t="shared" ca="1" si="4"/>
        <v>10032865.75</v>
      </c>
      <c r="AF22" s="32"/>
      <c r="AG22" s="32">
        <f t="shared" ca="1" si="5"/>
        <v>10032865.75</v>
      </c>
      <c r="AH22" s="31" t="s">
        <v>49</v>
      </c>
      <c r="AI22" s="34">
        <f t="shared" ca="1" si="13"/>
        <v>14754.214338235293</v>
      </c>
      <c r="AJ22" s="35"/>
      <c r="AK22" s="36" t="s">
        <v>20</v>
      </c>
      <c r="AL22" s="37">
        <f t="shared" si="14"/>
        <v>10550385</v>
      </c>
      <c r="AM22" s="38">
        <f t="shared" ca="1" si="15"/>
        <v>0</v>
      </c>
      <c r="AN22" s="38">
        <f t="shared" ca="1" si="16"/>
        <v>10550385</v>
      </c>
      <c r="AO22" s="38">
        <f t="shared" ca="1" si="17"/>
        <v>0</v>
      </c>
      <c r="AP22" s="39">
        <f t="shared" ca="1" si="18"/>
        <v>10032865.75</v>
      </c>
    </row>
    <row r="23" spans="1:42" s="40" customFormat="1">
      <c r="A23" s="25">
        <v>17</v>
      </c>
      <c r="B23" s="26" t="s">
        <v>74</v>
      </c>
      <c r="C23" s="26" t="s">
        <v>75</v>
      </c>
      <c r="D23" s="27">
        <v>2056339678</v>
      </c>
      <c r="E23" s="26" t="s">
        <v>76</v>
      </c>
      <c r="F23" s="28" t="s">
        <v>27</v>
      </c>
      <c r="G23" s="29">
        <v>26</v>
      </c>
      <c r="H23" s="41">
        <v>2702000</v>
      </c>
      <c r="I23" s="31">
        <f ca="1">SUMIF($B$7:$B$175,OT!B24,OT!$S$8:$S$160)</f>
        <v>0</v>
      </c>
      <c r="J23" s="30">
        <f ca="1">SUMIF($B$7:$B$136,เงินกะ!B24,เงินกะ!$M$8:$M$100)</f>
        <v>0</v>
      </c>
      <c r="K23" s="31"/>
      <c r="L23" s="31"/>
      <c r="M23" s="31"/>
      <c r="N23" s="31">
        <v>350000</v>
      </c>
      <c r="O23" s="31">
        <v>150000</v>
      </c>
      <c r="P23" s="31">
        <v>300000</v>
      </c>
      <c r="Q23" s="31"/>
      <c r="R23" s="31">
        <v>250000</v>
      </c>
      <c r="S23" s="31">
        <f>400000/26*25.5</f>
        <v>392307.69230769231</v>
      </c>
      <c r="T23" s="32">
        <f t="shared" ca="1" si="0"/>
        <v>4144307.6923076925</v>
      </c>
      <c r="U23" s="33"/>
      <c r="V23" s="31">
        <f ca="1">SUMIF($B$7:$B$136,'ขาด-ลา-มาสาย'!B24,'ขาด-ลา-มาสาย'!$K$8:$K$100)</f>
        <v>0</v>
      </c>
      <c r="W23" s="31">
        <f ca="1">SUMIF($B$7:$B$136,'ขาด-ลา-มาสาย'!B24,'ขาด-ลา-มาสาย'!$N$8:$N$100)</f>
        <v>0</v>
      </c>
      <c r="X23" s="31">
        <f ca="1">SUMIF($B$7:$B$136,'ขาด-ลา-มาสาย'!B24,'ขาด-ลา-มาสาย'!$Q$8:$Q$100)</f>
        <v>0</v>
      </c>
      <c r="Y23" s="31">
        <f ca="1">SUMIF($B$7:$B$136,'ขาด-ลา-มาสาย'!B24,'ขาด-ลา-มาสาย'!$T$8:$T$100)</f>
        <v>0</v>
      </c>
      <c r="Z23" s="31">
        <f ca="1">SUMIF($B$7:$B$136,'ขาด-ลา-มาสาย'!B24,'ขาด-ลา-มาสาย'!$W$8:$W$100)</f>
        <v>0</v>
      </c>
      <c r="AA23" s="32">
        <f t="shared" ca="1" si="1"/>
        <v>0</v>
      </c>
      <c r="AB23" s="33">
        <f t="shared" ca="1" si="2"/>
        <v>4144307.6923076925</v>
      </c>
      <c r="AC23" s="31">
        <f t="shared" ca="1" si="12"/>
        <v>3944307.6923076925</v>
      </c>
      <c r="AD23" s="31">
        <f t="shared" ca="1" si="3"/>
        <v>197215.38461538462</v>
      </c>
      <c r="AE23" s="32">
        <f t="shared" ca="1" si="4"/>
        <v>3947092.307692308</v>
      </c>
      <c r="AF23" s="32"/>
      <c r="AG23" s="32">
        <f t="shared" ca="1" si="5"/>
        <v>3947092.307692308</v>
      </c>
      <c r="AH23" s="31" t="s">
        <v>19</v>
      </c>
      <c r="AI23" s="34">
        <f t="shared" ca="1" si="13"/>
        <v>5804.5475113122175</v>
      </c>
      <c r="AJ23" s="35"/>
      <c r="AK23" s="36" t="s">
        <v>77</v>
      </c>
      <c r="AL23" s="37">
        <f t="shared" si="14"/>
        <v>2702000</v>
      </c>
      <c r="AM23" s="38">
        <f t="shared" ca="1" si="15"/>
        <v>0</v>
      </c>
      <c r="AN23" s="38">
        <f t="shared" ca="1" si="16"/>
        <v>2702000</v>
      </c>
      <c r="AO23" s="38">
        <f t="shared" ca="1" si="17"/>
        <v>1442307.6923076923</v>
      </c>
      <c r="AP23" s="39">
        <f t="shared" ca="1" si="18"/>
        <v>3947092.307692308</v>
      </c>
    </row>
    <row r="24" spans="1:42" s="40" customFormat="1">
      <c r="A24" s="25">
        <v>18</v>
      </c>
      <c r="B24" s="26" t="s">
        <v>78</v>
      </c>
      <c r="C24" s="26" t="s">
        <v>79</v>
      </c>
      <c r="D24" s="27" t="s">
        <v>80</v>
      </c>
      <c r="E24" s="26" t="s">
        <v>81</v>
      </c>
      <c r="F24" s="28" t="s">
        <v>27</v>
      </c>
      <c r="G24" s="29">
        <v>26</v>
      </c>
      <c r="H24" s="31">
        <v>5000000</v>
      </c>
      <c r="I24" s="31">
        <f ca="1">SUMIF($B$7:$B$175,OT!B25,OT!$S$8:$S$160)</f>
        <v>0</v>
      </c>
      <c r="J24" s="30">
        <f ca="1">SUMIF($B$7:$B$136,เงินกะ!B25,เงินกะ!$M$8:$M$100)</f>
        <v>0</v>
      </c>
      <c r="K24" s="31"/>
      <c r="L24" s="31"/>
      <c r="M24" s="31"/>
      <c r="N24" s="31"/>
      <c r="O24" s="31"/>
      <c r="P24" s="31"/>
      <c r="Q24" s="31"/>
      <c r="R24" s="31">
        <v>3500000</v>
      </c>
      <c r="S24" s="31">
        <f>400000/26*24</f>
        <v>369230.76923076925</v>
      </c>
      <c r="T24" s="32">
        <f t="shared" ca="1" si="0"/>
        <v>8869230.7692307699</v>
      </c>
      <c r="U24" s="33">
        <v>88000</v>
      </c>
      <c r="V24" s="31">
        <f ca="1">SUMIF($B$7:$B$136,'ขาด-ลา-มาสาย'!B25,'ขาด-ลา-มาสาย'!$K$8:$K$100)</f>
        <v>90000</v>
      </c>
      <c r="W24" s="31">
        <f ca="1">SUMIF($B$7:$B$136,'ขาด-ลา-มาสาย'!B25,'ขาด-ลา-มาสาย'!$N$8:$N$100)</f>
        <v>0</v>
      </c>
      <c r="X24" s="31">
        <f ca="1">SUMIF($B$7:$B$136,'ขาด-ลา-มาสาย'!B25,'ขาด-ลา-มาสาย'!$Q$8:$Q$100)</f>
        <v>0</v>
      </c>
      <c r="Y24" s="31">
        <f ca="1">SUMIF($B$7:$B$136,'ขาด-ลา-มาสาย'!B25,'ขาด-ลา-มาสาย'!$T$8:$T$100)</f>
        <v>192307.69230769231</v>
      </c>
      <c r="Z24" s="31">
        <f ca="1">SUMIF($B$7:$B$136,'ขาด-ลา-มาสาย'!B25,'ขาด-ลา-มาสาย'!$W$8:$W$100)</f>
        <v>0</v>
      </c>
      <c r="AA24" s="32">
        <f t="shared" ca="1" si="1"/>
        <v>370307.69230769231</v>
      </c>
      <c r="AB24" s="33">
        <f t="shared" ca="1" si="2"/>
        <v>8498923.0769230779</v>
      </c>
      <c r="AC24" s="31">
        <f t="shared" ca="1" si="12"/>
        <v>8298923.0769230779</v>
      </c>
      <c r="AD24" s="31">
        <f t="shared" ca="1" si="3"/>
        <v>414946.15384615393</v>
      </c>
      <c r="AE24" s="32">
        <f t="shared" ca="1" si="4"/>
        <v>8083976.9230769239</v>
      </c>
      <c r="AF24" s="32"/>
      <c r="AG24" s="32">
        <f t="shared" ca="1" si="5"/>
        <v>8083976.9230769239</v>
      </c>
      <c r="AH24" s="31" t="s">
        <v>49</v>
      </c>
      <c r="AI24" s="34">
        <f t="shared" ca="1" si="13"/>
        <v>11888.201357466065</v>
      </c>
      <c r="AJ24" s="35"/>
      <c r="AK24" s="36" t="s">
        <v>82</v>
      </c>
      <c r="AL24" s="37">
        <f t="shared" si="14"/>
        <v>5000000</v>
      </c>
      <c r="AM24" s="38">
        <f t="shared" ca="1" si="15"/>
        <v>370307.69230769231</v>
      </c>
      <c r="AN24" s="38">
        <f t="shared" ca="1" si="16"/>
        <v>4629692.307692308</v>
      </c>
      <c r="AO24" s="38">
        <f t="shared" ca="1" si="17"/>
        <v>3869230.769230769</v>
      </c>
      <c r="AP24" s="39">
        <f t="shared" ca="1" si="18"/>
        <v>8083976.9230769239</v>
      </c>
    </row>
    <row r="25" spans="1:42" s="40" customFormat="1">
      <c r="A25" s="25">
        <v>19</v>
      </c>
      <c r="B25" s="26" t="s">
        <v>83</v>
      </c>
      <c r="C25" s="26" t="s">
        <v>84</v>
      </c>
      <c r="D25" s="27">
        <v>2056211706</v>
      </c>
      <c r="E25" s="26" t="s">
        <v>81</v>
      </c>
      <c r="F25" s="28" t="s">
        <v>27</v>
      </c>
      <c r="G25" s="29">
        <v>26</v>
      </c>
      <c r="H25" s="31">
        <v>4500000</v>
      </c>
      <c r="I25" s="31">
        <f ca="1">SUMIF($B$7:$B$175,OT!B26,OT!$S$8:$S$160)</f>
        <v>0</v>
      </c>
      <c r="J25" s="30">
        <f ca="1">SUMIF($B$7:$B$136,เงินกะ!B26,เงินกะ!$M$8:$M$100)</f>
        <v>0</v>
      </c>
      <c r="K25" s="31"/>
      <c r="L25" s="31"/>
      <c r="M25" s="31"/>
      <c r="N25" s="31"/>
      <c r="O25" s="31"/>
      <c r="P25" s="31"/>
      <c r="Q25" s="31"/>
      <c r="R25" s="31">
        <v>2500000</v>
      </c>
      <c r="S25" s="31">
        <v>400000</v>
      </c>
      <c r="T25" s="32">
        <f t="shared" ca="1" si="0"/>
        <v>7400000</v>
      </c>
      <c r="U25" s="33"/>
      <c r="V25" s="31">
        <f ca="1">SUMIF($B$7:$B$136,'ขาด-ลา-มาสาย'!B26,'ขาด-ลา-มาสาย'!$K$8:$K$100)</f>
        <v>50000</v>
      </c>
      <c r="W25" s="31">
        <f ca="1">SUMIF($B$7:$B$136,'ขาด-ลา-มาสาย'!B26,'ขาด-ลา-มาสาย'!$N$8:$N$100)</f>
        <v>0</v>
      </c>
      <c r="X25" s="31">
        <f ca="1">SUMIF($B$7:$B$136,'ขาด-ลา-มาสาย'!B26,'ขาด-ลา-มาสาย'!$Q$8:$Q$100)</f>
        <v>0</v>
      </c>
      <c r="Y25" s="31">
        <f ca="1">SUMIF($B$7:$B$136,'ขาด-ลา-มาสาย'!B26,'ขาด-ลา-มาสาย'!$T$8:$T$100)</f>
        <v>0</v>
      </c>
      <c r="Z25" s="31">
        <f ca="1">SUMIF($B$7:$B$136,'ขาด-ลา-มาสาย'!B26,'ขาด-ลา-มาสาย'!$W$8:$W$100)</f>
        <v>0</v>
      </c>
      <c r="AA25" s="32">
        <f t="shared" ca="1" si="1"/>
        <v>50000</v>
      </c>
      <c r="AB25" s="33">
        <f t="shared" ca="1" si="2"/>
        <v>7350000</v>
      </c>
      <c r="AC25" s="31">
        <f t="shared" ca="1" si="12"/>
        <v>7150000</v>
      </c>
      <c r="AD25" s="31">
        <f t="shared" ca="1" si="3"/>
        <v>357500</v>
      </c>
      <c r="AE25" s="32">
        <f t="shared" ca="1" si="4"/>
        <v>6992500</v>
      </c>
      <c r="AF25" s="32"/>
      <c r="AG25" s="32">
        <f t="shared" ca="1" si="5"/>
        <v>6992500</v>
      </c>
      <c r="AH25" s="31" t="s">
        <v>19</v>
      </c>
      <c r="AI25" s="34">
        <f t="shared" ca="1" si="13"/>
        <v>10283.088235294117</v>
      </c>
      <c r="AJ25" s="35"/>
      <c r="AK25" s="36" t="s">
        <v>85</v>
      </c>
      <c r="AL25" s="37">
        <f t="shared" si="14"/>
        <v>4500000</v>
      </c>
      <c r="AM25" s="38">
        <f t="shared" ca="1" si="15"/>
        <v>50000</v>
      </c>
      <c r="AN25" s="38">
        <f t="shared" ca="1" si="16"/>
        <v>4450000</v>
      </c>
      <c r="AO25" s="38">
        <f t="shared" ca="1" si="17"/>
        <v>2900000</v>
      </c>
      <c r="AP25" s="39">
        <f t="shared" ca="1" si="18"/>
        <v>6992500</v>
      </c>
    </row>
    <row r="26" spans="1:42" s="40" customFormat="1">
      <c r="A26" s="25">
        <v>20</v>
      </c>
      <c r="B26" s="26" t="s">
        <v>86</v>
      </c>
      <c r="C26" s="26" t="s">
        <v>87</v>
      </c>
      <c r="D26" s="27">
        <v>2054612045</v>
      </c>
      <c r="E26" s="26" t="s">
        <v>88</v>
      </c>
      <c r="F26" s="28" t="s">
        <v>27</v>
      </c>
      <c r="G26" s="29">
        <v>26</v>
      </c>
      <c r="H26" s="31">
        <v>4000000</v>
      </c>
      <c r="I26" s="31">
        <f ca="1">SUMIF($B$7:$B$175,OT!B27,OT!$S$8:$S$160)</f>
        <v>0</v>
      </c>
      <c r="J26" s="30">
        <f ca="1">SUMIF($B$7:$B$136,เงินกะ!B27,เงินกะ!$M$8:$M$100)</f>
        <v>0</v>
      </c>
      <c r="K26" s="31"/>
      <c r="L26" s="31"/>
      <c r="M26" s="31"/>
      <c r="N26" s="31"/>
      <c r="O26" s="31"/>
      <c r="P26" s="31"/>
      <c r="Q26" s="31"/>
      <c r="R26" s="31">
        <v>4000000</v>
      </c>
      <c r="S26" s="31">
        <f>400000/26*23.5</f>
        <v>361538.46153846156</v>
      </c>
      <c r="T26" s="32">
        <f t="shared" ca="1" si="0"/>
        <v>8361538.461538462</v>
      </c>
      <c r="U26" s="33"/>
      <c r="V26" s="31">
        <f ca="1">SUMIF($B$7:$B$136,'ขาด-ลา-มาสาย'!B27,'ขาด-ลา-มาสาย'!$K$8:$K$100)</f>
        <v>0</v>
      </c>
      <c r="W26" s="31">
        <f ca="1">SUMIF($B$7:$B$136,'ขาด-ลา-มาสาย'!B27,'ขาด-ลา-มาสาย'!$N$8:$N$100)</f>
        <v>0</v>
      </c>
      <c r="X26" s="31">
        <f ca="1">SUMIF($B$7:$B$136,'ขาด-ลา-มาสาย'!B27,'ขาด-ลา-มาสาย'!$Q$8:$Q$100)</f>
        <v>0</v>
      </c>
      <c r="Y26" s="31">
        <f ca="1">SUMIF($B$7:$B$136,'ขาด-ลา-มาสาย'!B27,'ขาด-ลา-มาสาย'!$T$8:$T$100)</f>
        <v>0</v>
      </c>
      <c r="Z26" s="31">
        <f ca="1">SUMIF($B$7:$B$136,'ขาด-ลา-มาสาย'!B27,'ขาด-ลา-มาสาย'!$W$8:$W$100)</f>
        <v>0</v>
      </c>
      <c r="AA26" s="32">
        <f t="shared" ca="1" si="1"/>
        <v>0</v>
      </c>
      <c r="AB26" s="33">
        <f t="shared" ca="1" si="2"/>
        <v>8361538.461538462</v>
      </c>
      <c r="AC26" s="31">
        <f t="shared" ca="1" si="12"/>
        <v>8161538.461538462</v>
      </c>
      <c r="AD26" s="31">
        <f t="shared" ca="1" si="3"/>
        <v>408076.92307692312</v>
      </c>
      <c r="AE26" s="32">
        <f t="shared" ca="1" si="4"/>
        <v>7953461.538461539</v>
      </c>
      <c r="AF26" s="32"/>
      <c r="AG26" s="32">
        <f t="shared" ca="1" si="5"/>
        <v>7953461.538461539</v>
      </c>
      <c r="AH26" s="31" t="s">
        <v>19</v>
      </c>
      <c r="AI26" s="34">
        <f t="shared" ca="1" si="13"/>
        <v>11696.266968325792</v>
      </c>
      <c r="AJ26" s="35"/>
      <c r="AK26" s="36" t="s">
        <v>89</v>
      </c>
      <c r="AL26" s="37">
        <f t="shared" si="14"/>
        <v>4000000</v>
      </c>
      <c r="AM26" s="38">
        <f t="shared" ca="1" si="15"/>
        <v>0</v>
      </c>
      <c r="AN26" s="38">
        <f t="shared" ca="1" si="16"/>
        <v>4000000</v>
      </c>
      <c r="AO26" s="38">
        <f t="shared" ca="1" si="17"/>
        <v>4361538.461538462</v>
      </c>
      <c r="AP26" s="39">
        <f t="shared" ca="1" si="18"/>
        <v>7953461.538461539</v>
      </c>
    </row>
    <row r="27" spans="1:42" s="40" customFormat="1" ht="14.4">
      <c r="A27" s="25">
        <v>21</v>
      </c>
      <c r="B27" s="26" t="s">
        <v>90</v>
      </c>
      <c r="C27" s="26" t="s">
        <v>91</v>
      </c>
      <c r="D27" s="27">
        <v>2098953256</v>
      </c>
      <c r="E27" s="26" t="s">
        <v>92</v>
      </c>
      <c r="F27" s="28" t="s">
        <v>27</v>
      </c>
      <c r="G27" s="29">
        <v>26</v>
      </c>
      <c r="H27" s="31">
        <v>2600000</v>
      </c>
      <c r="I27" s="31">
        <f ca="1">SUMIF($B$7:$B$175,OT!B28,OT!$S$8:$S$160)</f>
        <v>0</v>
      </c>
      <c r="J27" s="30">
        <f ca="1">SUMIF($B$7:$B$136,เงินกะ!B28,เงินกะ!$M$8:$M$100)</f>
        <v>0</v>
      </c>
      <c r="K27" s="42"/>
      <c r="L27" s="43"/>
      <c r="M27" s="31"/>
      <c r="N27" s="43"/>
      <c r="O27" s="31">
        <v>150000</v>
      </c>
      <c r="P27" s="31">
        <v>150000</v>
      </c>
      <c r="Q27" s="31">
        <v>200000</v>
      </c>
      <c r="R27" s="31">
        <v>600000</v>
      </c>
      <c r="S27" s="31">
        <f>400000/26*18.5</f>
        <v>284615.38461538462</v>
      </c>
      <c r="T27" s="32">
        <f t="shared" ca="1" si="0"/>
        <v>3984615.3846153845</v>
      </c>
      <c r="U27" s="33"/>
      <c r="V27" s="31">
        <f ca="1">SUMIF($B$7:$B$136,'ขาด-ลา-มาสาย'!B28,'ขาด-ลา-มาสาย'!$K$8:$K$100)</f>
        <v>0</v>
      </c>
      <c r="W27" s="31">
        <f ca="1">SUMIF($B$7:$B$136,'ขาด-ลา-มาสาย'!B28,'ขาด-ลา-มาสาย'!$N$8:$N$100)</f>
        <v>20000</v>
      </c>
      <c r="X27" s="31">
        <f ca="1">SUMIF($B$7:$B$136,'ขาด-ลา-มาสาย'!B28,'ขาด-ลา-มาสาย'!$Q$8:$Q$100)</f>
        <v>0</v>
      </c>
      <c r="Y27" s="31">
        <f ca="1">SUMIF($B$7:$B$136,'ขาด-ลา-มาสาย'!B28,'ขาด-ลา-มาสาย'!$T$8:$T$100)</f>
        <v>200000</v>
      </c>
      <c r="Z27" s="31">
        <f ca="1">SUMIF($B$7:$B$136,'ขาด-ลา-มาสาย'!B28,'ขาด-ลา-มาสาย'!$W$8:$W$100)</f>
        <v>0</v>
      </c>
      <c r="AA27" s="32">
        <f t="shared" ca="1" si="1"/>
        <v>220000</v>
      </c>
      <c r="AB27" s="33">
        <f t="shared" ca="1" si="2"/>
        <v>3764615.3846153845</v>
      </c>
      <c r="AC27" s="31">
        <f t="shared" ca="1" si="12"/>
        <v>3564615.3846153845</v>
      </c>
      <c r="AD27" s="31">
        <f t="shared" ca="1" si="3"/>
        <v>178230.76923076925</v>
      </c>
      <c r="AE27" s="32">
        <f t="shared" ca="1" si="4"/>
        <v>3586384.615384615</v>
      </c>
      <c r="AF27" s="32"/>
      <c r="AG27" s="32">
        <f t="shared" ca="1" si="5"/>
        <v>3586384.615384615</v>
      </c>
      <c r="AH27" s="31" t="s">
        <v>49</v>
      </c>
      <c r="AI27" s="34">
        <f t="shared" ca="1" si="13"/>
        <v>5274.095022624434</v>
      </c>
      <c r="AJ27" s="35"/>
      <c r="AK27" s="36" t="s">
        <v>93</v>
      </c>
      <c r="AL27" s="37">
        <f t="shared" si="14"/>
        <v>2600000</v>
      </c>
      <c r="AM27" s="38">
        <f t="shared" ca="1" si="15"/>
        <v>220000</v>
      </c>
      <c r="AN27" s="38">
        <f t="shared" ca="1" si="16"/>
        <v>2380000</v>
      </c>
      <c r="AO27" s="38">
        <f t="shared" ca="1" si="17"/>
        <v>1384615.3846153845</v>
      </c>
      <c r="AP27" s="39">
        <f t="shared" ca="1" si="18"/>
        <v>3586384.615384615</v>
      </c>
    </row>
    <row r="28" spans="1:42" s="40" customFormat="1" ht="14.4">
      <c r="A28" s="25">
        <v>22</v>
      </c>
      <c r="B28" s="26" t="s">
        <v>94</v>
      </c>
      <c r="C28" s="26" t="s">
        <v>95</v>
      </c>
      <c r="D28" s="27">
        <v>2091381527</v>
      </c>
      <c r="E28" s="26" t="s">
        <v>96</v>
      </c>
      <c r="F28" s="28" t="s">
        <v>27</v>
      </c>
      <c r="G28" s="29">
        <v>26</v>
      </c>
      <c r="H28" s="31">
        <v>2500000</v>
      </c>
      <c r="I28" s="31">
        <f ca="1">SUMIF($B$7:$B$175,OT!B29,OT!$S$8:$S$160)</f>
        <v>0</v>
      </c>
      <c r="J28" s="30">
        <f ca="1">SUMIF($B$7:$B$136,เงินกะ!B29,เงินกะ!$M$8:$M$100)</f>
        <v>0</v>
      </c>
      <c r="K28" s="31">
        <v>0</v>
      </c>
      <c r="L28" s="43"/>
      <c r="M28" s="31"/>
      <c r="N28" s="43"/>
      <c r="O28" s="31">
        <f>150000/26*10</f>
        <v>57692.307692307695</v>
      </c>
      <c r="P28" s="31">
        <f>150000/26*10</f>
        <v>57692.307692307695</v>
      </c>
      <c r="Q28" s="31">
        <f>200000/26*10</f>
        <v>76923.076923076922</v>
      </c>
      <c r="R28" s="31">
        <f>600000/26*10</f>
        <v>230769.23076923078</v>
      </c>
      <c r="S28" s="31">
        <f>400000/26*10</f>
        <v>153846.15384615384</v>
      </c>
      <c r="T28" s="32">
        <f t="shared" ca="1" si="0"/>
        <v>3076923.076923077</v>
      </c>
      <c r="U28" s="33"/>
      <c r="V28" s="31">
        <f ca="1">SUMIF($B$7:$B$136,'ขาด-ลา-มาสาย'!B29,'ขาด-ลา-มาสาย'!$K$8:$K$100)</f>
        <v>10000</v>
      </c>
      <c r="W28" s="31">
        <f ca="1">SUMIF($B$7:$B$136,'ขาด-ลา-มาสาย'!B29,'ขาด-ลา-มาสาย'!$N$8:$N$100)</f>
        <v>0</v>
      </c>
      <c r="X28" s="31">
        <f ca="1">SUMIF($B$7:$B$136,'ขาด-ลา-มาสาย'!B29,'ขาด-ลา-มาสาย'!$Q$8:$Q$100)</f>
        <v>0</v>
      </c>
      <c r="Y28" s="31">
        <f ca="1">SUMIF($B$7:$B$136,'ขาด-ลา-มาสาย'!B29,'ขาด-ลา-มาสาย'!$T$8:$T$100)</f>
        <v>192307.69230769231</v>
      </c>
      <c r="Z28" s="31">
        <f ca="1">SUMIF($B$7:$B$136,'ขาด-ลา-มาสาย'!B29,'ขาด-ลา-มาสาย'!$W$8:$W$100)</f>
        <v>1346153.8461538462</v>
      </c>
      <c r="AA28" s="32">
        <f t="shared" ca="1" si="1"/>
        <v>1548461.5384615385</v>
      </c>
      <c r="AB28" s="33">
        <f t="shared" ca="1" si="2"/>
        <v>1528461.5384615385</v>
      </c>
      <c r="AC28" s="31">
        <f t="shared" ca="1" si="12"/>
        <v>1328461.5384615385</v>
      </c>
      <c r="AD28" s="31">
        <f t="shared" ca="1" si="3"/>
        <v>66423.076923076922</v>
      </c>
      <c r="AE28" s="32">
        <f t="shared" ca="1" si="4"/>
        <v>1462038.4615384615</v>
      </c>
      <c r="AF28" s="32"/>
      <c r="AG28" s="32">
        <f t="shared" ca="1" si="5"/>
        <v>1462038.4615384615</v>
      </c>
      <c r="AH28" s="31"/>
      <c r="AI28" s="34"/>
      <c r="AJ28" s="35"/>
      <c r="AK28" s="36"/>
      <c r="AL28" s="37"/>
      <c r="AM28" s="38"/>
      <c r="AN28" s="38"/>
      <c r="AO28" s="38"/>
      <c r="AP28" s="39"/>
    </row>
    <row r="29" spans="1:42" s="40" customFormat="1">
      <c r="A29" s="25">
        <v>23</v>
      </c>
      <c r="B29" s="26" t="s">
        <v>97</v>
      </c>
      <c r="C29" s="26" t="s">
        <v>98</v>
      </c>
      <c r="D29" s="27">
        <v>2077074510</v>
      </c>
      <c r="E29" s="26" t="s">
        <v>99</v>
      </c>
      <c r="F29" s="28" t="s">
        <v>27</v>
      </c>
      <c r="G29" s="29">
        <v>26</v>
      </c>
      <c r="H29" s="31">
        <v>3300000</v>
      </c>
      <c r="I29" s="31">
        <f ca="1">SUMIF($B$7:$B$175,OT!B30,OT!$S$8:$S$160)</f>
        <v>0</v>
      </c>
      <c r="J29" s="30">
        <f ca="1">SUMIF($B$7:$B$136,เงินกะ!B30,เงินกะ!$M$8:$M$100)</f>
        <v>0</v>
      </c>
      <c r="K29" s="44"/>
      <c r="L29" s="31">
        <v>200000</v>
      </c>
      <c r="M29" s="31"/>
      <c r="N29" s="42"/>
      <c r="O29" s="31">
        <v>150000</v>
      </c>
      <c r="P29" s="31">
        <v>150000</v>
      </c>
      <c r="Q29" s="42"/>
      <c r="R29" s="31">
        <v>1700000</v>
      </c>
      <c r="S29" s="42"/>
      <c r="T29" s="32">
        <f t="shared" ca="1" si="0"/>
        <v>5500000</v>
      </c>
      <c r="U29" s="33">
        <v>88000</v>
      </c>
      <c r="V29" s="31">
        <f ca="1">SUMIF($B$7:$B$136,'ขาด-ลา-มาสาย'!B30,'ขาด-ลา-มาสาย'!$K$8:$K$100)</f>
        <v>0</v>
      </c>
      <c r="W29" s="31">
        <f ca="1">SUMIF($B$7:$B$136,'ขาด-ลา-มาสาย'!B30,'ขาด-ลา-มาสาย'!$N$8:$N$100)</f>
        <v>0</v>
      </c>
      <c r="X29" s="31">
        <f ca="1">SUMIF($B$7:$B$136,'ขาด-ลา-มาสาย'!B30,'ขาด-ลา-มาสาย'!$Q$8:$Q$100)</f>
        <v>0</v>
      </c>
      <c r="Y29" s="31">
        <f ca="1">SUMIF($B$7:$B$136,'ขาด-ลา-มาสาย'!B30,'ขาด-ลา-มาสาย'!$T$8:$T$100)</f>
        <v>0</v>
      </c>
      <c r="Z29" s="31">
        <f ca="1">SUMIF($B$7:$B$136,'ขาด-ลา-มาสาย'!B30,'ขาด-ลา-มาสาย'!$W$8:$W$100)</f>
        <v>0</v>
      </c>
      <c r="AA29" s="32">
        <f t="shared" ca="1" si="1"/>
        <v>88000</v>
      </c>
      <c r="AB29" s="33">
        <f t="shared" ca="1" si="2"/>
        <v>5412000</v>
      </c>
      <c r="AC29" s="31">
        <f t="shared" ca="1" si="12"/>
        <v>5212000</v>
      </c>
      <c r="AD29" s="31">
        <f t="shared" ca="1" si="3"/>
        <v>260600</v>
      </c>
      <c r="AE29" s="32">
        <f t="shared" ca="1" si="4"/>
        <v>5151400</v>
      </c>
      <c r="AF29" s="32"/>
      <c r="AG29" s="32">
        <f t="shared" ca="1" si="5"/>
        <v>5151400</v>
      </c>
      <c r="AH29" s="31" t="s">
        <v>49</v>
      </c>
      <c r="AI29" s="34">
        <f ca="1">AE29/680</f>
        <v>7575.588235294118</v>
      </c>
      <c r="AJ29" s="35"/>
      <c r="AK29" s="36" t="s">
        <v>100</v>
      </c>
      <c r="AL29" s="37">
        <f>H29</f>
        <v>3300000</v>
      </c>
      <c r="AM29" s="38">
        <f ca="1">AA29</f>
        <v>88000</v>
      </c>
      <c r="AN29" s="38">
        <f ca="1">AL29-AM29</f>
        <v>3212000</v>
      </c>
      <c r="AO29" s="38">
        <f ca="1">SUM(I29:S29)</f>
        <v>2200000</v>
      </c>
      <c r="AP29" s="39">
        <f ca="1">AE29</f>
        <v>5151400</v>
      </c>
    </row>
    <row r="30" spans="1:42" s="40" customFormat="1" ht="14.4">
      <c r="A30" s="25">
        <v>24</v>
      </c>
      <c r="B30" s="26" t="s">
        <v>101</v>
      </c>
      <c r="C30" s="26" t="s">
        <v>102</v>
      </c>
      <c r="D30" s="27">
        <v>2097221714</v>
      </c>
      <c r="E30" s="26" t="s">
        <v>99</v>
      </c>
      <c r="F30" s="28" t="s">
        <v>27</v>
      </c>
      <c r="G30" s="29">
        <v>26</v>
      </c>
      <c r="H30" s="31">
        <v>2600000</v>
      </c>
      <c r="I30" s="31">
        <f ca="1">SUMIF($B$7:$B$175,OT!B31,OT!$S$8:$S$160)</f>
        <v>0</v>
      </c>
      <c r="J30" s="30">
        <f ca="1">SUMIF($B$7:$B$136,เงินกะ!B31,เงินกะ!$M$8:$M$100)</f>
        <v>0</v>
      </c>
      <c r="K30" s="31">
        <v>300000</v>
      </c>
      <c r="L30" s="43"/>
      <c r="M30" s="31"/>
      <c r="N30" s="43"/>
      <c r="O30" s="31">
        <v>150000</v>
      </c>
      <c r="P30" s="31">
        <v>150000</v>
      </c>
      <c r="Q30" s="31">
        <v>200000</v>
      </c>
      <c r="R30" s="31">
        <v>400000</v>
      </c>
      <c r="S30" s="31">
        <f>400000/26*24</f>
        <v>369230.76923076925</v>
      </c>
      <c r="T30" s="32">
        <f t="shared" ca="1" si="0"/>
        <v>4169230.769230769</v>
      </c>
      <c r="U30" s="33"/>
      <c r="V30" s="31">
        <f ca="1">SUMIF($B$7:$B$136,'ขาด-ลา-มาสาย'!B31,'ขาด-ลา-มาสาย'!$K$8:$K$100)</f>
        <v>0</v>
      </c>
      <c r="W30" s="31">
        <f ca="1">SUMIF($B$7:$B$136,'ขาด-ลา-มาสาย'!B31,'ขาด-ลา-มาสาย'!$N$8:$N$100)</f>
        <v>0</v>
      </c>
      <c r="X30" s="31">
        <f ca="1">SUMIF($B$7:$B$136,'ขาด-ลา-มาสาย'!B31,'ขาด-ลา-มาสาย'!$Q$8:$Q$100)</f>
        <v>0</v>
      </c>
      <c r="Y30" s="31">
        <f ca="1">SUMIF($B$7:$B$136,'ขาด-ลา-มาสาย'!B31,'ขาด-ลา-มาสาย'!$T$8:$T$100)</f>
        <v>200000</v>
      </c>
      <c r="Z30" s="31">
        <f ca="1">SUMIF($B$7:$B$136,'ขาด-ลา-มาสาย'!B31,'ขาด-ลา-มาสาย'!$W$8:$W$100)</f>
        <v>0</v>
      </c>
      <c r="AA30" s="32">
        <f t="shared" ca="1" si="1"/>
        <v>200000</v>
      </c>
      <c r="AB30" s="33">
        <f t="shared" ca="1" si="2"/>
        <v>3969230.769230769</v>
      </c>
      <c r="AC30" s="31">
        <f t="shared" ca="1" si="12"/>
        <v>3769230.769230769</v>
      </c>
      <c r="AD30" s="31">
        <f t="shared" ca="1" si="3"/>
        <v>188461.53846153847</v>
      </c>
      <c r="AE30" s="32">
        <f t="shared" ca="1" si="4"/>
        <v>3780769.2307692305</v>
      </c>
      <c r="AF30" s="32"/>
      <c r="AG30" s="32">
        <f t="shared" ca="1" si="5"/>
        <v>3780769.2307692305</v>
      </c>
      <c r="AH30" s="31" t="s">
        <v>49</v>
      </c>
      <c r="AI30" s="34">
        <f ca="1">AE30/680</f>
        <v>5559.9547511312212</v>
      </c>
      <c r="AJ30" s="35"/>
      <c r="AK30" s="36" t="s">
        <v>20</v>
      </c>
      <c r="AL30" s="37">
        <f>H30</f>
        <v>2600000</v>
      </c>
      <c r="AM30" s="38">
        <f ca="1">AA30</f>
        <v>200000</v>
      </c>
      <c r="AN30" s="38">
        <f ca="1">AL30-AM30</f>
        <v>2400000</v>
      </c>
      <c r="AO30" s="38">
        <f ca="1">SUM(I30:S30)</f>
        <v>1569230.7692307692</v>
      </c>
      <c r="AP30" s="39">
        <f ca="1">AE30</f>
        <v>3780769.2307692305</v>
      </c>
    </row>
    <row r="31" spans="1:42" s="40" customFormat="1" ht="14.4">
      <c r="A31" s="25">
        <v>25</v>
      </c>
      <c r="B31" s="26" t="s">
        <v>103</v>
      </c>
      <c r="C31" s="26" t="s">
        <v>104</v>
      </c>
      <c r="D31" s="27">
        <v>2059597282</v>
      </c>
      <c r="E31" s="26" t="s">
        <v>105</v>
      </c>
      <c r="F31" s="28" t="s">
        <v>27</v>
      </c>
      <c r="G31" s="29">
        <v>26</v>
      </c>
      <c r="H31" s="31">
        <v>3300000</v>
      </c>
      <c r="I31" s="31">
        <f ca="1">SUMIF($B$7:$B$175,OT!B32,OT!$S$8:$S$160)</f>
        <v>23798.076923076922</v>
      </c>
      <c r="J31" s="30">
        <f ca="1">SUMIF($B$7:$B$136,เงินกะ!B32,เงินกะ!$M$8:$M$100)</f>
        <v>36490.384615384617</v>
      </c>
      <c r="K31" s="42"/>
      <c r="L31" s="43">
        <v>200000</v>
      </c>
      <c r="M31" s="31"/>
      <c r="N31" s="43"/>
      <c r="O31" s="31">
        <v>150000</v>
      </c>
      <c r="P31" s="42"/>
      <c r="Q31" s="31">
        <v>200000</v>
      </c>
      <c r="R31" s="31">
        <v>1700000</v>
      </c>
      <c r="S31" s="31">
        <f>200000/26*22</f>
        <v>169230.76923076922</v>
      </c>
      <c r="T31" s="32">
        <f t="shared" ca="1" si="0"/>
        <v>5779519.230769231</v>
      </c>
      <c r="U31" s="33"/>
      <c r="V31" s="31">
        <f ca="1">SUMIF($B$7:$B$136,'ขาด-ลา-มาสาย'!B32,'ขาด-ลา-มาสาย'!$K$8:$K$100)</f>
        <v>0</v>
      </c>
      <c r="W31" s="31">
        <f ca="1">SUMIF($B$7:$B$136,'ขาด-ลา-มาสาย'!B32,'ขาด-ลา-มาสาย'!$N$8:$N$100)</f>
        <v>0</v>
      </c>
      <c r="X31" s="31">
        <f ca="1">SUMIF($B$7:$B$136,'ขาด-ลา-มาสาย'!B32,'ขาด-ลา-มาสาย'!$Q$8:$Q$100)</f>
        <v>0</v>
      </c>
      <c r="Y31" s="31">
        <f ca="1">SUMIF($B$7:$B$136,'ขาด-ลา-มาสาย'!B32,'ขาด-ลา-มาสาย'!$T$8:$T$100)</f>
        <v>507692.30769230769</v>
      </c>
      <c r="Z31" s="31">
        <f ca="1">SUMIF($B$7:$B$136,'ขาด-ลา-มาสาย'!B32,'ขาด-ลา-มาสาย'!$W$8:$W$100)</f>
        <v>0</v>
      </c>
      <c r="AA31" s="32">
        <f t="shared" ca="1" si="1"/>
        <v>507692.30769230769</v>
      </c>
      <c r="AB31" s="33">
        <f t="shared" ca="1" si="2"/>
        <v>5271826.923076923</v>
      </c>
      <c r="AC31" s="31">
        <f t="shared" ca="1" si="12"/>
        <v>5071826.923076923</v>
      </c>
      <c r="AD31" s="31">
        <f t="shared" ca="1" si="3"/>
        <v>253591.34615384616</v>
      </c>
      <c r="AE31" s="32">
        <f t="shared" ca="1" si="4"/>
        <v>5018235.576923077</v>
      </c>
      <c r="AF31" s="32"/>
      <c r="AG31" s="32">
        <f t="shared" ca="1" si="5"/>
        <v>5018235.576923077</v>
      </c>
      <c r="AH31" s="31" t="s">
        <v>49</v>
      </c>
      <c r="AI31" s="34">
        <f ca="1">AE31/680</f>
        <v>7379.7582013574665</v>
      </c>
      <c r="AJ31" s="35"/>
      <c r="AK31" s="36" t="s">
        <v>106</v>
      </c>
      <c r="AL31" s="37">
        <f>H31</f>
        <v>3300000</v>
      </c>
      <c r="AM31" s="38">
        <f ca="1">AA31</f>
        <v>507692.30769230769</v>
      </c>
      <c r="AN31" s="38">
        <f ca="1">AL31-AM31</f>
        <v>2792307.6923076925</v>
      </c>
      <c r="AO31" s="38">
        <f ca="1">SUM(I31:S31)</f>
        <v>2479519.2307692305</v>
      </c>
      <c r="AP31" s="39">
        <f ca="1">AE31</f>
        <v>5018235.576923077</v>
      </c>
    </row>
    <row r="32" spans="1:42" s="40" customFormat="1">
      <c r="A32" s="25">
        <v>26</v>
      </c>
      <c r="B32" s="26" t="s">
        <v>107</v>
      </c>
      <c r="C32" s="45" t="s">
        <v>108</v>
      </c>
      <c r="D32" s="27">
        <v>2077412771</v>
      </c>
      <c r="E32" s="26" t="s">
        <v>105</v>
      </c>
      <c r="F32" s="28" t="s">
        <v>27</v>
      </c>
      <c r="G32" s="29">
        <v>26</v>
      </c>
      <c r="H32" s="31">
        <v>2600000</v>
      </c>
      <c r="I32" s="31">
        <f ca="1">SUMIF($B$7:$B$175,OT!B33,OT!$S$8:$S$160)</f>
        <v>37500</v>
      </c>
      <c r="J32" s="30">
        <f ca="1">SUMIF($B$7:$B$136,เงินกะ!B33,เงินกะ!$M$8:$M$100)</f>
        <v>0</v>
      </c>
      <c r="K32" s="31">
        <f>300000/26*12</f>
        <v>138461.53846153847</v>
      </c>
      <c r="L32" s="31">
        <v>0</v>
      </c>
      <c r="M32" s="31"/>
      <c r="N32" s="31">
        <v>0</v>
      </c>
      <c r="O32" s="31">
        <f>150000/26*12</f>
        <v>69230.769230769234</v>
      </c>
      <c r="P32" s="31">
        <f>150000/26*12</f>
        <v>69230.769230769234</v>
      </c>
      <c r="Q32" s="31">
        <f>200000/26*12</f>
        <v>92307.692307692312</v>
      </c>
      <c r="R32" s="31">
        <f>400000/26*12</f>
        <v>184615.38461538462</v>
      </c>
      <c r="S32" s="31">
        <f>400000/26*12</f>
        <v>184615.38461538462</v>
      </c>
      <c r="T32" s="32">
        <f t="shared" ca="1" si="0"/>
        <v>3375961.538461538</v>
      </c>
      <c r="U32" s="33"/>
      <c r="V32" s="31">
        <f ca="1">SUMIF($B$7:$B$136,'ขาด-ลา-มาสาย'!B33,'ขาด-ลา-มาสาย'!$K$8:$K$100)</f>
        <v>0</v>
      </c>
      <c r="W32" s="31">
        <f ca="1">SUMIF($B$7:$B$136,'ขาด-ลา-มาสาย'!B33,'ขาด-ลา-มาสาย'!$N$8:$N$100)</f>
        <v>0</v>
      </c>
      <c r="X32" s="31">
        <f ca="1">SUMIF($B$7:$B$136,'ขาด-ลา-มาสาย'!B33,'ขาด-ลา-มาสาย'!$Q$8:$Q$100)</f>
        <v>0</v>
      </c>
      <c r="Y32" s="31">
        <f ca="1">SUMIF($B$7:$B$136,'ขาด-ลา-มาสาย'!B33,'ขาด-ลา-มาสาย'!$T$8:$T$100)</f>
        <v>0</v>
      </c>
      <c r="Z32" s="31">
        <f ca="1">SUMIF($B$7:$B$136,'ขาด-ลา-มาสาย'!B33,'ขาด-ลา-มาสาย'!$W$8:$W$100)</f>
        <v>1200000</v>
      </c>
      <c r="AA32" s="32">
        <f t="shared" ca="1" si="1"/>
        <v>1200000</v>
      </c>
      <c r="AB32" s="33">
        <f t="shared" ca="1" si="2"/>
        <v>2175961.538461538</v>
      </c>
      <c r="AC32" s="31">
        <f t="shared" ca="1" si="12"/>
        <v>1975961.538461538</v>
      </c>
      <c r="AD32" s="31">
        <f t="shared" ca="1" si="3"/>
        <v>98798.076923076907</v>
      </c>
      <c r="AE32" s="32">
        <f t="shared" ca="1" si="4"/>
        <v>2077163.461538461</v>
      </c>
      <c r="AF32" s="32"/>
      <c r="AG32" s="32">
        <f t="shared" ca="1" si="5"/>
        <v>2077163.461538461</v>
      </c>
      <c r="AH32" s="31" t="s">
        <v>49</v>
      </c>
      <c r="AI32" s="34">
        <f ca="1">AE32/680</f>
        <v>3054.6521493212663</v>
      </c>
      <c r="AJ32" s="35"/>
      <c r="AK32" s="36" t="s">
        <v>20</v>
      </c>
      <c r="AL32" s="37">
        <f>H32</f>
        <v>2600000</v>
      </c>
      <c r="AM32" s="38">
        <f ca="1">AA32</f>
        <v>1200000</v>
      </c>
      <c r="AN32" s="38">
        <f ca="1">AL32-AM32</f>
        <v>1400000</v>
      </c>
      <c r="AO32" s="38">
        <f ca="1">SUM(I32:S32)</f>
        <v>775961.5384615385</v>
      </c>
      <c r="AP32" s="39">
        <f ca="1">AE32</f>
        <v>2077163.461538461</v>
      </c>
    </row>
    <row r="33" spans="1:42" s="40" customFormat="1">
      <c r="A33" s="25">
        <v>27</v>
      </c>
      <c r="B33" s="26" t="s">
        <v>109</v>
      </c>
      <c r="C33" s="26" t="s">
        <v>110</v>
      </c>
      <c r="D33" s="27">
        <v>2096532048</v>
      </c>
      <c r="E33" s="26" t="s">
        <v>105</v>
      </c>
      <c r="F33" s="28" t="s">
        <v>27</v>
      </c>
      <c r="G33" s="29">
        <v>26</v>
      </c>
      <c r="H33" s="31">
        <v>2500000</v>
      </c>
      <c r="I33" s="31">
        <f ca="1">SUMIF($B$7:$B$175,OT!B34,OT!$S$8:$S$160)</f>
        <v>0</v>
      </c>
      <c r="J33" s="30">
        <f ca="1">SUMIF($B$7:$B$136,เงินกะ!B34,เงินกะ!$M$8:$M$100)</f>
        <v>0</v>
      </c>
      <c r="K33" s="31">
        <f>300000/26*12</f>
        <v>138461.53846153847</v>
      </c>
      <c r="L33" s="31">
        <f>200000/26*12</f>
        <v>92307.692307692312</v>
      </c>
      <c r="M33" s="31"/>
      <c r="N33" s="31">
        <f>250000/26*12</f>
        <v>115384.61538461538</v>
      </c>
      <c r="O33" s="31">
        <f>150000/26*12</f>
        <v>69230.769230769234</v>
      </c>
      <c r="P33" s="31">
        <f>150000/26*12</f>
        <v>69230.769230769234</v>
      </c>
      <c r="Q33" s="31">
        <f>200000/26*12</f>
        <v>92307.692307692312</v>
      </c>
      <c r="R33" s="31">
        <f>300000/26*12</f>
        <v>138461.53846153847</v>
      </c>
      <c r="S33" s="31">
        <f>400000/26*12</f>
        <v>184615.38461538462</v>
      </c>
      <c r="T33" s="32">
        <f t="shared" ca="1" si="0"/>
        <v>3400000</v>
      </c>
      <c r="U33" s="33"/>
      <c r="V33" s="31">
        <f ca="1">SUMIF($B$7:$B$136,'ขาด-ลา-มาสาย'!B34,'ขาด-ลา-มาสาย'!$K$8:$K$100)</f>
        <v>0</v>
      </c>
      <c r="W33" s="31">
        <f ca="1">SUMIF($B$7:$B$136,'ขาด-ลา-มาสาย'!B34,'ขาด-ลา-มาสาย'!$N$8:$N$100)</f>
        <v>0</v>
      </c>
      <c r="X33" s="31">
        <f ca="1">SUMIF($B$7:$B$136,'ขาด-ลา-มาสาย'!B34,'ขาด-ลา-มาสาย'!$Q$8:$Q$100)</f>
        <v>0</v>
      </c>
      <c r="Y33" s="31">
        <f ca="1">SUMIF($B$7:$B$136,'ขาด-ลา-มาสาย'!B34,'ขาด-ลา-มาสาย'!$T$8:$T$100)</f>
        <v>0</v>
      </c>
      <c r="Z33" s="31">
        <f ca="1">SUMIF($B$7:$B$136,'ขาด-ลา-มาสาย'!B34,'ขาด-ลา-มาสาย'!$W$8:$W$100)</f>
        <v>1346153.8461538462</v>
      </c>
      <c r="AA33" s="32">
        <f t="shared" ca="1" si="1"/>
        <v>1346153.8461538462</v>
      </c>
      <c r="AB33" s="33">
        <f t="shared" ca="1" si="2"/>
        <v>2053846.1538461538</v>
      </c>
      <c r="AC33" s="31">
        <f t="shared" ca="1" si="12"/>
        <v>1853846.1538461538</v>
      </c>
      <c r="AD33" s="31">
        <f t="shared" ca="1" si="3"/>
        <v>92692.307692307688</v>
      </c>
      <c r="AE33" s="32">
        <f t="shared" ca="1" si="4"/>
        <v>1961153.846153846</v>
      </c>
      <c r="AF33" s="32"/>
      <c r="AG33" s="32">
        <f t="shared" ca="1" si="5"/>
        <v>1961153.846153846</v>
      </c>
      <c r="AH33" s="31"/>
      <c r="AI33" s="34"/>
      <c r="AJ33" s="35"/>
      <c r="AK33" s="36"/>
      <c r="AL33" s="37"/>
      <c r="AM33" s="38"/>
      <c r="AN33" s="38"/>
      <c r="AO33" s="38"/>
      <c r="AP33" s="39"/>
    </row>
    <row r="34" spans="1:42" s="40" customFormat="1">
      <c r="A34" s="25">
        <v>28</v>
      </c>
      <c r="B34" s="26" t="s">
        <v>111</v>
      </c>
      <c r="C34" s="26" t="s">
        <v>112</v>
      </c>
      <c r="D34" s="27">
        <v>2057706864</v>
      </c>
      <c r="E34" s="26" t="s">
        <v>113</v>
      </c>
      <c r="F34" s="28" t="s">
        <v>27</v>
      </c>
      <c r="G34" s="29">
        <v>26</v>
      </c>
      <c r="H34" s="31">
        <v>3300000</v>
      </c>
      <c r="I34" s="31">
        <f ca="1">SUMIF($B$7:$B$175,OT!B35,OT!$S$8:$S$160)</f>
        <v>23798.076923076922</v>
      </c>
      <c r="J34" s="30">
        <f ca="1">SUMIF($B$7:$B$136,เงินกะ!B35,เงินกะ!$M$8:$M$100)</f>
        <v>0</v>
      </c>
      <c r="K34" s="42"/>
      <c r="L34" s="31">
        <v>200000</v>
      </c>
      <c r="M34" s="31"/>
      <c r="N34" s="31">
        <v>250000</v>
      </c>
      <c r="O34" s="31">
        <v>150000</v>
      </c>
      <c r="P34" s="31">
        <v>150000</v>
      </c>
      <c r="Q34" s="31">
        <v>200000</v>
      </c>
      <c r="R34" s="31">
        <v>1700000</v>
      </c>
      <c r="S34" s="31">
        <v>400000</v>
      </c>
      <c r="T34" s="32">
        <f t="shared" ca="1" si="0"/>
        <v>6373798.076923077</v>
      </c>
      <c r="U34" s="33">
        <v>88000</v>
      </c>
      <c r="V34" s="31">
        <f ca="1">SUMIF($B$7:$B$136,'ขาด-ลา-มาสาย'!B35,'ขาด-ลา-มาสาย'!$K$8:$K$100)</f>
        <v>0</v>
      </c>
      <c r="W34" s="31">
        <f ca="1">SUMIF($B$7:$B$136,'ขาด-ลา-มาสาย'!B35,'ขาด-ลา-มาสาย'!$N$8:$N$100)</f>
        <v>0</v>
      </c>
      <c r="X34" s="31">
        <f ca="1">SUMIF($B$7:$B$136,'ขาด-ลา-มาสาย'!B35,'ขาด-ลา-มาสาย'!$Q$8:$Q$100)</f>
        <v>0</v>
      </c>
      <c r="Y34" s="31">
        <f ca="1">SUMIF($B$7:$B$136,'ขาด-ลา-มาสาย'!B35,'ขาด-ลา-มาสาย'!$T$8:$T$100)</f>
        <v>0</v>
      </c>
      <c r="Z34" s="31">
        <f ca="1">SUMIF($B$7:$B$136,'ขาด-ลา-มาสาย'!B35,'ขาด-ลา-มาสาย'!$W$8:$W$100)</f>
        <v>0</v>
      </c>
      <c r="AA34" s="32">
        <f t="shared" ca="1" si="1"/>
        <v>88000</v>
      </c>
      <c r="AB34" s="33">
        <f t="shared" ca="1" si="2"/>
        <v>6285798.076923077</v>
      </c>
      <c r="AC34" s="31">
        <f t="shared" ca="1" si="12"/>
        <v>6085798.076923077</v>
      </c>
      <c r="AD34" s="31">
        <f t="shared" ca="1" si="3"/>
        <v>304289.90384615387</v>
      </c>
      <c r="AE34" s="32">
        <f t="shared" ca="1" si="4"/>
        <v>5981508.173076923</v>
      </c>
      <c r="AF34" s="32"/>
      <c r="AG34" s="32">
        <f t="shared" ca="1" si="5"/>
        <v>5981508.173076923</v>
      </c>
      <c r="AH34" s="31" t="s">
        <v>49</v>
      </c>
      <c r="AI34" s="34">
        <f ca="1">AE34/680</f>
        <v>8796.3355486425335</v>
      </c>
      <c r="AJ34" s="35"/>
      <c r="AK34" s="36" t="s">
        <v>114</v>
      </c>
      <c r="AL34" s="37">
        <f t="shared" ref="AL34:AL47" si="19">H34</f>
        <v>3300000</v>
      </c>
      <c r="AM34" s="38">
        <f t="shared" ref="AM34:AM47" ca="1" si="20">AA34</f>
        <v>88000</v>
      </c>
      <c r="AN34" s="38">
        <f t="shared" ref="AN34:AN47" ca="1" si="21">AL34-AM34</f>
        <v>3212000</v>
      </c>
      <c r="AO34" s="38">
        <f t="shared" ref="AO34:AO47" ca="1" si="22">SUM(I34:S34)</f>
        <v>3073798.076923077</v>
      </c>
      <c r="AP34" s="39">
        <f t="shared" ref="AP34:AP47" ca="1" si="23">AE34</f>
        <v>5981508.173076923</v>
      </c>
    </row>
    <row r="35" spans="1:42" s="40" customFormat="1" ht="14.4">
      <c r="A35" s="25">
        <v>29</v>
      </c>
      <c r="B35" s="26" t="s">
        <v>115</v>
      </c>
      <c r="C35" s="45" t="s">
        <v>116</v>
      </c>
      <c r="D35" s="27">
        <v>2099427578</v>
      </c>
      <c r="E35" s="26" t="s">
        <v>113</v>
      </c>
      <c r="F35" s="28" t="s">
        <v>27</v>
      </c>
      <c r="G35" s="29">
        <v>26</v>
      </c>
      <c r="H35" s="31">
        <v>2600000</v>
      </c>
      <c r="I35" s="31">
        <f ca="1">SUMIF($B$7:$B$175,OT!B36,OT!$S$8:$S$160)</f>
        <v>0</v>
      </c>
      <c r="J35" s="30">
        <f ca="1">SUMIF($B$7:$B$136,เงินกะ!B36,เงินกะ!$M$8:$M$100)</f>
        <v>0</v>
      </c>
      <c r="K35" s="31">
        <f>300000/26*11</f>
        <v>126923.07692307694</v>
      </c>
      <c r="L35" s="43"/>
      <c r="M35" s="31"/>
      <c r="N35" s="43"/>
      <c r="O35" s="31">
        <v>0</v>
      </c>
      <c r="P35" s="31">
        <f>150000/26*11</f>
        <v>63461.538461538468</v>
      </c>
      <c r="Q35" s="31"/>
      <c r="R35" s="31">
        <f>300000/26*11</f>
        <v>126923.07692307694</v>
      </c>
      <c r="S35" s="31">
        <f>400000/26*11</f>
        <v>169230.76923076922</v>
      </c>
      <c r="T35" s="32">
        <f t="shared" ca="1" si="0"/>
        <v>3086538.4615384615</v>
      </c>
      <c r="U35" s="33"/>
      <c r="V35" s="31">
        <f ca="1">SUMIF($B$7:$B$136,'ขาด-ลา-มาสาย'!B36,'ขาด-ลา-มาสาย'!$K$8:$K$100)</f>
        <v>50000</v>
      </c>
      <c r="W35" s="31">
        <f ca="1">SUMIF($B$7:$B$136,'ขาด-ลา-มาสาย'!B36,'ขาด-ลา-มาสาย'!$N$8:$N$100)</f>
        <v>0</v>
      </c>
      <c r="X35" s="31">
        <f ca="1">SUMIF($B$7:$B$136,'ขาด-ลา-มาสาย'!B36,'ขาด-ลา-มาสาย'!$Q$8:$Q$100)</f>
        <v>0</v>
      </c>
      <c r="Y35" s="31">
        <f ca="1">SUMIF($B$7:$B$136,'ขาด-ลา-มาสาย'!B36,'ขาด-ลา-มาสาย'!$T$8:$T$100)</f>
        <v>200000</v>
      </c>
      <c r="Z35" s="31">
        <f ca="1">SUMIF($B$7:$B$136,'ขาด-ลา-มาสาย'!B36,'ขาด-ลา-มาสาย'!$W$8:$W$100)</f>
        <v>1700000</v>
      </c>
      <c r="AA35" s="32">
        <f t="shared" ca="1" si="1"/>
        <v>1950000</v>
      </c>
      <c r="AB35" s="33">
        <f t="shared" ca="1" si="2"/>
        <v>1136538.4615384615</v>
      </c>
      <c r="AC35" s="31">
        <f t="shared" ca="1" si="12"/>
        <v>936538.4615384615</v>
      </c>
      <c r="AD35" s="31">
        <f t="shared" ca="1" si="3"/>
        <v>46826.923076923078</v>
      </c>
      <c r="AE35" s="32">
        <f t="shared" ca="1" si="4"/>
        <v>1089711.5384615385</v>
      </c>
      <c r="AF35" s="32"/>
      <c r="AG35" s="32">
        <f t="shared" ca="1" si="5"/>
        <v>1089711.5384615385</v>
      </c>
      <c r="AH35" s="31" t="s">
        <v>49</v>
      </c>
      <c r="AI35" s="34">
        <f ca="1">AE35/680</f>
        <v>1602.5169683257918</v>
      </c>
      <c r="AJ35" s="35"/>
      <c r="AK35" s="36" t="s">
        <v>20</v>
      </c>
      <c r="AL35" s="37">
        <f t="shared" si="19"/>
        <v>2600000</v>
      </c>
      <c r="AM35" s="38">
        <f t="shared" ca="1" si="20"/>
        <v>1950000</v>
      </c>
      <c r="AN35" s="38">
        <f t="shared" ca="1" si="21"/>
        <v>650000</v>
      </c>
      <c r="AO35" s="38">
        <f t="shared" ca="1" si="22"/>
        <v>486538.46153846162</v>
      </c>
      <c r="AP35" s="39">
        <f t="shared" ca="1" si="23"/>
        <v>1089711.5384615385</v>
      </c>
    </row>
    <row r="36" spans="1:42" s="40" customFormat="1" ht="14.4">
      <c r="A36" s="25">
        <v>30</v>
      </c>
      <c r="B36" s="26" t="s">
        <v>117</v>
      </c>
      <c r="C36" s="26" t="s">
        <v>118</v>
      </c>
      <c r="D36" s="27">
        <v>2093949318</v>
      </c>
      <c r="E36" s="26" t="s">
        <v>119</v>
      </c>
      <c r="F36" s="28" t="s">
        <v>27</v>
      </c>
      <c r="G36" s="29">
        <v>26</v>
      </c>
      <c r="H36" s="31">
        <v>3300000</v>
      </c>
      <c r="I36" s="31">
        <f ca="1">SUMIF($B$7:$B$175,OT!B37,OT!$S$8:$S$160)</f>
        <v>0</v>
      </c>
      <c r="J36" s="30">
        <f ca="1">SUMIF($B$7:$B$136,เงินกะ!B37,เงินกะ!$M$8:$M$100)</f>
        <v>0</v>
      </c>
      <c r="K36" s="31">
        <f>H36*15%</f>
        <v>495000</v>
      </c>
      <c r="L36" s="31">
        <v>200000</v>
      </c>
      <c r="M36" s="31"/>
      <c r="N36" s="43"/>
      <c r="O36" s="31">
        <v>150000</v>
      </c>
      <c r="P36" s="31">
        <v>150000</v>
      </c>
      <c r="Q36" s="31">
        <v>200000</v>
      </c>
      <c r="R36" s="31">
        <v>1700000</v>
      </c>
      <c r="S36" s="31">
        <v>400000</v>
      </c>
      <c r="T36" s="32">
        <f t="shared" ca="1" si="0"/>
        <v>6595000</v>
      </c>
      <c r="U36" s="33"/>
      <c r="V36" s="31">
        <f ca="1">SUMIF($B$7:$B$136,'ขาด-ลา-มาสาย'!B37,'ขาด-ลา-มาสาย'!$K$8:$K$100)</f>
        <v>10000</v>
      </c>
      <c r="W36" s="31">
        <f ca="1">SUMIF($B$7:$B$136,'ขาด-ลา-มาสาย'!B37,'ขาด-ลา-มาสาย'!$N$8:$N$100)</f>
        <v>0</v>
      </c>
      <c r="X36" s="31">
        <f ca="1">SUMIF($B$7:$B$136,'ขาด-ลา-มาสาย'!B37,'ขาด-ลา-มาสาย'!$Q$8:$Q$100)</f>
        <v>0</v>
      </c>
      <c r="Y36" s="31">
        <f ca="1">SUMIF($B$7:$B$136,'ขาด-ลา-มาสาย'!B37,'ขาด-ลา-มาสาย'!$T$8:$T$100)</f>
        <v>0</v>
      </c>
      <c r="Z36" s="31">
        <f ca="1">SUMIF($B$7:$B$136,'ขาด-ลา-มาสาย'!B37,'ขาด-ลา-มาสาย'!$W$8:$W$100)</f>
        <v>0</v>
      </c>
      <c r="AA36" s="32">
        <f t="shared" ca="1" si="1"/>
        <v>10000</v>
      </c>
      <c r="AB36" s="33">
        <f t="shared" ca="1" si="2"/>
        <v>6585000</v>
      </c>
      <c r="AC36" s="31">
        <f t="shared" ca="1" si="12"/>
        <v>6385000</v>
      </c>
      <c r="AD36" s="31">
        <f t="shared" ca="1" si="3"/>
        <v>319250</v>
      </c>
      <c r="AE36" s="32">
        <f t="shared" ca="1" si="4"/>
        <v>6265750</v>
      </c>
      <c r="AF36" s="32"/>
      <c r="AG36" s="32">
        <f t="shared" ca="1" si="5"/>
        <v>6265750</v>
      </c>
      <c r="AH36" s="31" t="s">
        <v>49</v>
      </c>
      <c r="AI36" s="34">
        <f ca="1">AE36/680</f>
        <v>9214.3382352941171</v>
      </c>
      <c r="AJ36" s="35"/>
      <c r="AK36" s="36" t="s">
        <v>120</v>
      </c>
      <c r="AL36" s="37">
        <f t="shared" si="19"/>
        <v>3300000</v>
      </c>
      <c r="AM36" s="38">
        <f t="shared" ca="1" si="20"/>
        <v>10000</v>
      </c>
      <c r="AN36" s="38">
        <f t="shared" ca="1" si="21"/>
        <v>3290000</v>
      </c>
      <c r="AO36" s="38">
        <f t="shared" ca="1" si="22"/>
        <v>3295000</v>
      </c>
      <c r="AP36" s="39">
        <f t="shared" ca="1" si="23"/>
        <v>6265750</v>
      </c>
    </row>
    <row r="37" spans="1:42" s="40" customFormat="1" ht="14.4">
      <c r="A37" s="25">
        <v>31</v>
      </c>
      <c r="B37" s="26" t="s">
        <v>121</v>
      </c>
      <c r="C37" s="45" t="s">
        <v>122</v>
      </c>
      <c r="D37" s="27">
        <v>2096870409</v>
      </c>
      <c r="E37" s="26" t="s">
        <v>119</v>
      </c>
      <c r="F37" s="28" t="s">
        <v>27</v>
      </c>
      <c r="G37" s="29">
        <v>26</v>
      </c>
      <c r="H37" s="31">
        <v>2600000</v>
      </c>
      <c r="I37" s="31">
        <f ca="1">SUMIF($B$7:$B$175,OT!B38,OT!$S$8:$S$160)</f>
        <v>0</v>
      </c>
      <c r="J37" s="30">
        <f ca="1">SUMIF($B$7:$B$136,เงินกะ!B38,เงินกะ!$M$8:$M$100)</f>
        <v>0</v>
      </c>
      <c r="K37" s="31">
        <f>H37*15%/26*17.5</f>
        <v>262500</v>
      </c>
      <c r="L37" s="46"/>
      <c r="M37" s="31"/>
      <c r="N37" s="47"/>
      <c r="O37" s="31">
        <f>150000/26*17.5</f>
        <v>100961.53846153847</v>
      </c>
      <c r="P37" s="31">
        <f>150000/26*17.5</f>
        <v>100961.53846153847</v>
      </c>
      <c r="Q37" s="31">
        <f>200000/26*17.5</f>
        <v>134615.38461538462</v>
      </c>
      <c r="R37" s="31">
        <f>1000000/26*17.5</f>
        <v>673076.92307692312</v>
      </c>
      <c r="S37" s="31">
        <f>400000/26*17.5</f>
        <v>269230.76923076925</v>
      </c>
      <c r="T37" s="32">
        <f t="shared" ca="1" si="0"/>
        <v>4141346.153846154</v>
      </c>
      <c r="U37" s="33"/>
      <c r="V37" s="31">
        <f ca="1">SUMIF($B$7:$B$136,'ขาด-ลา-มาสาย'!B38,'ขาด-ลา-มาสาย'!$K$8:$K$100)</f>
        <v>0</v>
      </c>
      <c r="W37" s="31">
        <f ca="1">SUMIF($B$7:$B$136,'ขาด-ลา-มาสาย'!B38,'ขาด-ลา-มาสาย'!$N$8:$N$100)</f>
        <v>0</v>
      </c>
      <c r="X37" s="31">
        <f ca="1">SUMIF($B$7:$B$136,'ขาด-ลา-มาสาย'!B38,'ขาด-ลา-มาสาย'!$Q$8:$Q$100)</f>
        <v>50000</v>
      </c>
      <c r="Y37" s="31">
        <f ca="1">SUMIF($B$7:$B$136,'ขาด-ลา-มาสาย'!B38,'ขาด-ลา-มาสาย'!$T$8:$T$100)</f>
        <v>450000</v>
      </c>
      <c r="Z37" s="31">
        <f ca="1">SUMIF($B$7:$B$136,'ขาด-ลา-มาสาย'!B38,'ขาด-ลา-มาสาย'!$W$8:$W$100)</f>
        <v>400000</v>
      </c>
      <c r="AA37" s="32">
        <f t="shared" ca="1" si="1"/>
        <v>900000</v>
      </c>
      <c r="AB37" s="33">
        <f t="shared" ca="1" si="2"/>
        <v>3241346.153846154</v>
      </c>
      <c r="AC37" s="31">
        <f t="shared" ca="1" si="12"/>
        <v>3041346.153846154</v>
      </c>
      <c r="AD37" s="31">
        <f t="shared" ca="1" si="3"/>
        <v>152067.30769230772</v>
      </c>
      <c r="AE37" s="32">
        <f t="shared" ca="1" si="4"/>
        <v>3089278.8461538465</v>
      </c>
      <c r="AF37" s="32"/>
      <c r="AG37" s="32">
        <f t="shared" ca="1" si="5"/>
        <v>3089278.8461538465</v>
      </c>
      <c r="AH37" s="31"/>
      <c r="AI37" s="34">
        <v>0</v>
      </c>
      <c r="AJ37" s="35"/>
      <c r="AK37" s="36" t="s">
        <v>123</v>
      </c>
      <c r="AL37" s="37">
        <f t="shared" si="19"/>
        <v>2600000</v>
      </c>
      <c r="AM37" s="38">
        <f t="shared" ca="1" si="20"/>
        <v>900000</v>
      </c>
      <c r="AN37" s="38">
        <f t="shared" ca="1" si="21"/>
        <v>1700000</v>
      </c>
      <c r="AO37" s="38">
        <f t="shared" ca="1" si="22"/>
        <v>1541346.153846154</v>
      </c>
      <c r="AP37" s="39">
        <f t="shared" ca="1" si="23"/>
        <v>3089278.8461538465</v>
      </c>
    </row>
    <row r="38" spans="1:42" s="40" customFormat="1">
      <c r="A38" s="25">
        <v>32</v>
      </c>
      <c r="B38" s="26" t="s">
        <v>124</v>
      </c>
      <c r="C38" s="26" t="s">
        <v>125</v>
      </c>
      <c r="D38" s="27">
        <v>2093768539</v>
      </c>
      <c r="E38" s="26" t="s">
        <v>119</v>
      </c>
      <c r="F38" s="28" t="s">
        <v>27</v>
      </c>
      <c r="G38" s="29">
        <v>26</v>
      </c>
      <c r="H38" s="31">
        <v>2600000</v>
      </c>
      <c r="I38" s="31">
        <f ca="1">SUMIF($B$7:$B$175,OT!B39,OT!$S$8:$S$160)</f>
        <v>0</v>
      </c>
      <c r="J38" s="30">
        <f ca="1">SUMIF($B$7:$B$136,เงินกะ!B39,เงินกะ!$M$8:$M$100)</f>
        <v>0</v>
      </c>
      <c r="K38" s="31">
        <f>H38*15%</f>
        <v>390000</v>
      </c>
      <c r="L38" s="31">
        <v>200000</v>
      </c>
      <c r="M38" s="31"/>
      <c r="N38" s="31">
        <v>250000</v>
      </c>
      <c r="O38" s="31">
        <v>150000</v>
      </c>
      <c r="P38" s="31">
        <v>150000</v>
      </c>
      <c r="Q38" s="31">
        <v>200000</v>
      </c>
      <c r="R38" s="31">
        <v>1000000</v>
      </c>
      <c r="S38" s="31">
        <f>400000/26*24</f>
        <v>369230.76923076925</v>
      </c>
      <c r="T38" s="32">
        <f t="shared" ca="1" si="0"/>
        <v>5309230.769230769</v>
      </c>
      <c r="U38" s="33"/>
      <c r="V38" s="31">
        <f ca="1">SUMIF($B$7:$B$136,'ขาด-ลา-มาสาย'!B39,'ขาด-ลา-มาสาย'!$K$8:$K$100)</f>
        <v>0</v>
      </c>
      <c r="W38" s="31">
        <f ca="1">SUMIF($B$7:$B$136,'ขาด-ลา-มาสาย'!B39,'ขาด-ลา-มาสาย'!$N$8:$N$100)</f>
        <v>0</v>
      </c>
      <c r="X38" s="31">
        <f ca="1">SUMIF($B$7:$B$136,'ขาด-ลา-มาสาย'!B39,'ขาด-ลา-มาสาย'!$Q$8:$Q$100)</f>
        <v>0</v>
      </c>
      <c r="Y38" s="31">
        <f ca="1">SUMIF($B$7:$B$136,'ขาด-ลา-มาสาย'!B39,'ขาด-ลา-มาสาย'!$T$8:$T$100)</f>
        <v>0</v>
      </c>
      <c r="Z38" s="31">
        <f ca="1">SUMIF($B$7:$B$136,'ขาด-ลา-มาสาย'!B39,'ขาด-ลา-มาสาย'!$W$8:$W$100)</f>
        <v>0</v>
      </c>
      <c r="AA38" s="32">
        <f t="shared" ca="1" si="1"/>
        <v>0</v>
      </c>
      <c r="AB38" s="33">
        <f t="shared" ca="1" si="2"/>
        <v>5309230.769230769</v>
      </c>
      <c r="AC38" s="31">
        <f t="shared" ca="1" si="12"/>
        <v>5109230.769230769</v>
      </c>
      <c r="AD38" s="31">
        <f t="shared" ca="1" si="3"/>
        <v>255461.53846153847</v>
      </c>
      <c r="AE38" s="32">
        <f t="shared" ca="1" si="4"/>
        <v>5053769.230769231</v>
      </c>
      <c r="AF38" s="32"/>
      <c r="AG38" s="32">
        <f t="shared" ca="1" si="5"/>
        <v>5053769.230769231</v>
      </c>
      <c r="AH38" s="31" t="s">
        <v>49</v>
      </c>
      <c r="AI38" s="34">
        <f t="shared" ref="AI38:AI47" ca="1" si="24">AE38/680</f>
        <v>7432.0135746606338</v>
      </c>
      <c r="AJ38" s="35"/>
      <c r="AK38" s="36" t="s">
        <v>20</v>
      </c>
      <c r="AL38" s="37">
        <f t="shared" si="19"/>
        <v>2600000</v>
      </c>
      <c r="AM38" s="38">
        <f t="shared" ca="1" si="20"/>
        <v>0</v>
      </c>
      <c r="AN38" s="38">
        <f t="shared" ca="1" si="21"/>
        <v>2600000</v>
      </c>
      <c r="AO38" s="38">
        <f t="shared" ca="1" si="22"/>
        <v>2709230.769230769</v>
      </c>
      <c r="AP38" s="39">
        <f t="shared" ca="1" si="23"/>
        <v>5053769.230769231</v>
      </c>
    </row>
    <row r="39" spans="1:42" s="40" customFormat="1">
      <c r="A39" s="25">
        <v>33</v>
      </c>
      <c r="B39" s="26" t="s">
        <v>126</v>
      </c>
      <c r="C39" s="26" t="s">
        <v>127</v>
      </c>
      <c r="D39" s="27">
        <v>2056238018</v>
      </c>
      <c r="E39" s="26" t="s">
        <v>119</v>
      </c>
      <c r="F39" s="28" t="s">
        <v>27</v>
      </c>
      <c r="G39" s="29">
        <v>26</v>
      </c>
      <c r="H39" s="31">
        <v>2600000</v>
      </c>
      <c r="I39" s="31">
        <f ca="1">SUMIF($B$7:$B$175,OT!B40,OT!$S$8:$S$160)</f>
        <v>0</v>
      </c>
      <c r="J39" s="30">
        <f ca="1">SUMIF($B$7:$B$136,เงินกะ!B40,เงินกะ!$M$8:$M$100)</f>
        <v>0</v>
      </c>
      <c r="K39" s="31">
        <f>H39*15%</f>
        <v>390000</v>
      </c>
      <c r="L39" s="31">
        <v>200000</v>
      </c>
      <c r="M39" s="31"/>
      <c r="N39" s="31">
        <v>250000</v>
      </c>
      <c r="O39" s="31">
        <v>150000</v>
      </c>
      <c r="P39" s="31">
        <v>150000</v>
      </c>
      <c r="Q39" s="31">
        <v>200000</v>
      </c>
      <c r="R39" s="31">
        <v>1000000</v>
      </c>
      <c r="S39" s="31">
        <v>400000</v>
      </c>
      <c r="T39" s="32">
        <f t="shared" ref="T39:T70" ca="1" si="25">SUM(H39:S39)</f>
        <v>5340000</v>
      </c>
      <c r="U39" s="33"/>
      <c r="V39" s="31">
        <f ca="1">SUMIF($B$7:$B$136,'ขาด-ลา-มาสาย'!B40,'ขาด-ลา-มาสาย'!$K$8:$K$100)</f>
        <v>0</v>
      </c>
      <c r="W39" s="31">
        <f ca="1">SUMIF($B$7:$B$136,'ขาด-ลา-มาสาย'!B40,'ขาด-ลา-มาสาย'!$N$8:$N$100)</f>
        <v>0</v>
      </c>
      <c r="X39" s="31">
        <f ca="1">SUMIF($B$7:$B$136,'ขาด-ลา-มาสาย'!B40,'ขาด-ลา-มาสาย'!$Q$8:$Q$100)</f>
        <v>0</v>
      </c>
      <c r="Y39" s="31">
        <f ca="1">SUMIF($B$7:$B$136,'ขาด-ลา-มาสาย'!B40,'ขาด-ลา-มาสาย'!$T$8:$T$100)</f>
        <v>0</v>
      </c>
      <c r="Z39" s="31">
        <f ca="1">SUMIF($B$7:$B$136,'ขาด-ลา-มาสาย'!B40,'ขาด-ลา-มาสาย'!$W$8:$W$100)</f>
        <v>0</v>
      </c>
      <c r="AA39" s="32">
        <f t="shared" ref="AA39:AA70" ca="1" si="26">SUM(U39:Z39)</f>
        <v>0</v>
      </c>
      <c r="AB39" s="33">
        <f t="shared" ref="AB39:AB70" ca="1" si="27">T39-AA39</f>
        <v>5340000</v>
      </c>
      <c r="AC39" s="31">
        <f t="shared" ca="1" si="12"/>
        <v>5140000</v>
      </c>
      <c r="AD39" s="31">
        <f t="shared" ref="AD39:AD70" ca="1" si="28">AC39*5%</f>
        <v>257000</v>
      </c>
      <c r="AE39" s="32">
        <f t="shared" ref="AE39:AE70" ca="1" si="29">AB39-AD39</f>
        <v>5083000</v>
      </c>
      <c r="AF39" s="32"/>
      <c r="AG39" s="32">
        <f t="shared" ref="AG39:AG70" ca="1" si="30">AE39-AF39</f>
        <v>5083000</v>
      </c>
      <c r="AH39" s="31" t="s">
        <v>49</v>
      </c>
      <c r="AI39" s="34">
        <f t="shared" ca="1" si="24"/>
        <v>7475</v>
      </c>
      <c r="AJ39" s="35"/>
      <c r="AK39" s="36" t="s">
        <v>20</v>
      </c>
      <c r="AL39" s="37">
        <f t="shared" si="19"/>
        <v>2600000</v>
      </c>
      <c r="AM39" s="38">
        <f t="shared" ca="1" si="20"/>
        <v>0</v>
      </c>
      <c r="AN39" s="38">
        <f t="shared" ca="1" si="21"/>
        <v>2600000</v>
      </c>
      <c r="AO39" s="38">
        <f t="shared" ca="1" si="22"/>
        <v>2740000</v>
      </c>
      <c r="AP39" s="39">
        <f t="shared" ca="1" si="23"/>
        <v>5083000</v>
      </c>
    </row>
    <row r="40" spans="1:42" s="40" customFormat="1" ht="14.4">
      <c r="A40" s="25">
        <v>34</v>
      </c>
      <c r="B40" s="26" t="s">
        <v>128</v>
      </c>
      <c r="C40" s="26" t="s">
        <v>129</v>
      </c>
      <c r="D40" s="27">
        <v>2091295633</v>
      </c>
      <c r="E40" s="26" t="s">
        <v>119</v>
      </c>
      <c r="F40" s="28" t="s">
        <v>27</v>
      </c>
      <c r="G40" s="29">
        <v>26</v>
      </c>
      <c r="H40" s="31">
        <v>2600000</v>
      </c>
      <c r="I40" s="31">
        <f ca="1">SUMIF($B$7:$B$175,OT!B41,OT!$S$8:$S$160)</f>
        <v>0</v>
      </c>
      <c r="J40" s="30">
        <f ca="1">SUMIF($B$7:$B$136,เงินกะ!B41,เงินกะ!$M$8:$M$100)</f>
        <v>0</v>
      </c>
      <c r="K40" s="31">
        <f>H40*15%/26*24.5</f>
        <v>367500</v>
      </c>
      <c r="L40" s="31">
        <v>200000</v>
      </c>
      <c r="M40" s="31"/>
      <c r="N40" s="48"/>
      <c r="O40" s="31">
        <v>150000</v>
      </c>
      <c r="P40" s="31">
        <v>150000</v>
      </c>
      <c r="Q40" s="31">
        <v>200000</v>
      </c>
      <c r="R40" s="31">
        <v>1000000</v>
      </c>
      <c r="S40" s="31">
        <f>400000/26*23.5</f>
        <v>361538.46153846156</v>
      </c>
      <c r="T40" s="32">
        <f t="shared" ca="1" si="25"/>
        <v>5029038.461538462</v>
      </c>
      <c r="U40" s="33"/>
      <c r="V40" s="31">
        <f ca="1">SUMIF($B$7:$B$136,'ขาด-ลา-มาสาย'!B41,'ขาด-ลา-มาสาย'!$K$8:$K$100)</f>
        <v>10000</v>
      </c>
      <c r="W40" s="31">
        <f ca="1">SUMIF($B$7:$B$136,'ขาด-ลา-มาสาย'!B41,'ขาด-ลา-มาสาย'!$N$8:$N$100)</f>
        <v>0</v>
      </c>
      <c r="X40" s="31">
        <f ca="1">SUMIF($B$7:$B$136,'ขาด-ลา-มาสาย'!B41,'ขาด-ลา-มาสาย'!$Q$8:$Q$100)</f>
        <v>0</v>
      </c>
      <c r="Y40" s="31">
        <f ca="1">SUMIF($B$7:$B$136,'ขาด-ลา-มาสาย'!B41,'ขาด-ลา-มาสาย'!$T$8:$T$100)</f>
        <v>150000</v>
      </c>
      <c r="Z40" s="31">
        <f ca="1">SUMIF($B$7:$B$136,'ขาด-ลา-มาสาย'!B41,'ขาด-ลา-มาสาย'!$W$8:$W$100)</f>
        <v>0</v>
      </c>
      <c r="AA40" s="32">
        <f t="shared" ca="1" si="26"/>
        <v>160000</v>
      </c>
      <c r="AB40" s="33">
        <f t="shared" ca="1" si="27"/>
        <v>4869038.461538462</v>
      </c>
      <c r="AC40" s="31">
        <f t="shared" ca="1" si="12"/>
        <v>4669038.461538462</v>
      </c>
      <c r="AD40" s="31">
        <f t="shared" ca="1" si="28"/>
        <v>233451.92307692312</v>
      </c>
      <c r="AE40" s="32">
        <f t="shared" ca="1" si="29"/>
        <v>4635586.538461539</v>
      </c>
      <c r="AF40" s="32"/>
      <c r="AG40" s="32">
        <f t="shared" ca="1" si="30"/>
        <v>4635586.538461539</v>
      </c>
      <c r="AH40" s="31" t="s">
        <v>49</v>
      </c>
      <c r="AI40" s="34">
        <f t="shared" ca="1" si="24"/>
        <v>6817.0390271493216</v>
      </c>
      <c r="AJ40" s="35"/>
      <c r="AK40" s="36" t="s">
        <v>20</v>
      </c>
      <c r="AL40" s="37">
        <f t="shared" si="19"/>
        <v>2600000</v>
      </c>
      <c r="AM40" s="38">
        <f t="shared" ca="1" si="20"/>
        <v>160000</v>
      </c>
      <c r="AN40" s="38">
        <f t="shared" ca="1" si="21"/>
        <v>2440000</v>
      </c>
      <c r="AO40" s="38">
        <f t="shared" ca="1" si="22"/>
        <v>2429038.4615384615</v>
      </c>
      <c r="AP40" s="39">
        <f t="shared" ca="1" si="23"/>
        <v>4635586.538461539</v>
      </c>
    </row>
    <row r="41" spans="1:42" s="40" customFormat="1" ht="14.4">
      <c r="A41" s="25">
        <v>35</v>
      </c>
      <c r="B41" s="26" t="s">
        <v>130</v>
      </c>
      <c r="C41" s="26" t="s">
        <v>131</v>
      </c>
      <c r="D41" s="27">
        <v>2099099712</v>
      </c>
      <c r="E41" s="26" t="s">
        <v>119</v>
      </c>
      <c r="F41" s="28" t="s">
        <v>27</v>
      </c>
      <c r="G41" s="29">
        <v>26</v>
      </c>
      <c r="H41" s="31">
        <v>2500000</v>
      </c>
      <c r="I41" s="31">
        <f ca="1">SUMIF($B$7:$B$175,OT!B42,OT!$S$8:$S$160)</f>
        <v>0</v>
      </c>
      <c r="J41" s="30">
        <f ca="1">SUMIF($B$7:$B$136,เงินกะ!B42,เงินกะ!$M$8:$M$100)</f>
        <v>0</v>
      </c>
      <c r="K41" s="31">
        <f>H41*15%/26*24</f>
        <v>346153.84615384619</v>
      </c>
      <c r="L41" s="31">
        <v>200000</v>
      </c>
      <c r="M41" s="31"/>
      <c r="N41" s="43"/>
      <c r="O41" s="31">
        <v>150000</v>
      </c>
      <c r="P41" s="31">
        <v>150000</v>
      </c>
      <c r="Q41" s="31">
        <v>200000</v>
      </c>
      <c r="R41" s="31">
        <v>350000</v>
      </c>
      <c r="S41" s="31">
        <f>400000/26*25</f>
        <v>384615.38461538462</v>
      </c>
      <c r="T41" s="32">
        <f t="shared" ca="1" si="25"/>
        <v>4280769.230769231</v>
      </c>
      <c r="U41" s="33"/>
      <c r="V41" s="31">
        <f ca="1">SUMIF($B$7:$B$136,'ขาด-ลา-มาสาย'!B42,'ขาด-ลา-มาสาย'!$K$8:$K$100)</f>
        <v>0</v>
      </c>
      <c r="W41" s="31">
        <f ca="1">SUMIF($B$7:$B$136,'ขาด-ลา-มาสาย'!B42,'ขาด-ลา-มาสาย'!$N$8:$N$100)</f>
        <v>0</v>
      </c>
      <c r="X41" s="31">
        <f ca="1">SUMIF($B$7:$B$136,'ขาด-ลา-มาสาย'!B42,'ขาด-ลา-มาสาย'!$Q$8:$Q$100)</f>
        <v>0</v>
      </c>
      <c r="Y41" s="31">
        <f ca="1">SUMIF($B$7:$B$136,'ขาด-ลา-มาสาย'!B42,'ขาด-ลา-มาสาย'!$T$8:$T$100)</f>
        <v>96153.846153846156</v>
      </c>
      <c r="Z41" s="31">
        <f ca="1">SUMIF($B$7:$B$136,'ขาด-ลา-มาสาย'!B42,'ขาด-ลา-มาสาย'!$W$8:$W$100)</f>
        <v>0</v>
      </c>
      <c r="AA41" s="32">
        <f t="shared" ca="1" si="26"/>
        <v>96153.846153846156</v>
      </c>
      <c r="AB41" s="33">
        <f t="shared" ca="1" si="27"/>
        <v>4184615.384615385</v>
      </c>
      <c r="AC41" s="31">
        <f t="shared" ref="AC41:AC72" ca="1" si="31">AB41-200000</f>
        <v>3984615.384615385</v>
      </c>
      <c r="AD41" s="31">
        <f t="shared" ca="1" si="28"/>
        <v>199230.76923076925</v>
      </c>
      <c r="AE41" s="32">
        <f t="shared" ca="1" si="29"/>
        <v>3985384.615384616</v>
      </c>
      <c r="AF41" s="32"/>
      <c r="AG41" s="32">
        <f t="shared" ca="1" si="30"/>
        <v>3985384.615384616</v>
      </c>
      <c r="AH41" s="31" t="s">
        <v>49</v>
      </c>
      <c r="AI41" s="34">
        <f t="shared" ca="1" si="24"/>
        <v>5860.8597285067881</v>
      </c>
      <c r="AJ41" s="35"/>
      <c r="AK41" s="36" t="s">
        <v>20</v>
      </c>
      <c r="AL41" s="37">
        <f t="shared" si="19"/>
        <v>2500000</v>
      </c>
      <c r="AM41" s="38">
        <f t="shared" ca="1" si="20"/>
        <v>96153.846153846156</v>
      </c>
      <c r="AN41" s="38">
        <f t="shared" ca="1" si="21"/>
        <v>2403846.153846154</v>
      </c>
      <c r="AO41" s="38">
        <f t="shared" ca="1" si="22"/>
        <v>1780769.230769231</v>
      </c>
      <c r="AP41" s="39">
        <f t="shared" ca="1" si="23"/>
        <v>3985384.615384616</v>
      </c>
    </row>
    <row r="42" spans="1:42" s="40" customFormat="1">
      <c r="A42" s="25">
        <v>36</v>
      </c>
      <c r="B42" s="26" t="s">
        <v>132</v>
      </c>
      <c r="C42" s="26" t="s">
        <v>133</v>
      </c>
      <c r="D42" s="27">
        <v>2057922285</v>
      </c>
      <c r="E42" s="26" t="s">
        <v>134</v>
      </c>
      <c r="F42" s="28" t="s">
        <v>27</v>
      </c>
      <c r="G42" s="29">
        <v>26</v>
      </c>
      <c r="H42" s="31">
        <v>2702000</v>
      </c>
      <c r="I42" s="31">
        <f ca="1">SUMIF($B$7:$B$175,OT!B43,OT!$S$8:$S$160)</f>
        <v>0</v>
      </c>
      <c r="J42" s="30">
        <f ca="1">SUMIF($B$7:$B$136,เงินกะ!B43,เงินกะ!$M$8:$M$100)</f>
        <v>149389.42307692306</v>
      </c>
      <c r="K42" s="31">
        <f>H42*15%</f>
        <v>405300</v>
      </c>
      <c r="L42" s="31">
        <v>200000</v>
      </c>
      <c r="M42" s="31"/>
      <c r="N42" s="31">
        <v>250000</v>
      </c>
      <c r="O42" s="31">
        <v>150000</v>
      </c>
      <c r="P42" s="31">
        <v>150000</v>
      </c>
      <c r="Q42" s="31">
        <v>200000</v>
      </c>
      <c r="R42" s="31">
        <v>1000000</v>
      </c>
      <c r="S42" s="31">
        <v>400000</v>
      </c>
      <c r="T42" s="32">
        <f t="shared" ca="1" si="25"/>
        <v>5606689.423076923</v>
      </c>
      <c r="U42" s="33"/>
      <c r="V42" s="31">
        <f ca="1">SUMIF($B$7:$B$136,'ขาด-ลา-มาสาย'!B43,'ขาด-ลา-มาสาย'!$K$8:$K$100)</f>
        <v>0</v>
      </c>
      <c r="W42" s="31">
        <f ca="1">SUMIF($B$7:$B$136,'ขาด-ลา-มาสาย'!B43,'ขาด-ลา-มาสาย'!$N$8:$N$100)</f>
        <v>0</v>
      </c>
      <c r="X42" s="31">
        <f ca="1">SUMIF($B$7:$B$136,'ขาด-ลา-มาสาย'!B43,'ขาด-ลา-มาสาย'!$Q$8:$Q$100)</f>
        <v>0</v>
      </c>
      <c r="Y42" s="31">
        <f ca="1">SUMIF($B$7:$B$136,'ขาด-ลา-มาสาย'!B43,'ขาด-ลา-มาสาย'!$T$8:$T$100)</f>
        <v>0</v>
      </c>
      <c r="Z42" s="31">
        <f ca="1">SUMIF($B$7:$B$136,'ขาด-ลา-มาสาย'!B43,'ขาด-ลา-มาสาย'!$W$8:$W$100)</f>
        <v>0</v>
      </c>
      <c r="AA42" s="32">
        <f t="shared" ca="1" si="26"/>
        <v>0</v>
      </c>
      <c r="AB42" s="33">
        <f t="shared" ca="1" si="27"/>
        <v>5606689.423076923</v>
      </c>
      <c r="AC42" s="31">
        <f t="shared" ca="1" si="31"/>
        <v>5406689.423076923</v>
      </c>
      <c r="AD42" s="31">
        <f t="shared" ca="1" si="28"/>
        <v>270334.47115384619</v>
      </c>
      <c r="AE42" s="32">
        <f t="shared" ca="1" si="29"/>
        <v>5336354.951923077</v>
      </c>
      <c r="AF42" s="32"/>
      <c r="AG42" s="32">
        <f t="shared" ca="1" si="30"/>
        <v>5336354.951923077</v>
      </c>
      <c r="AH42" s="31" t="s">
        <v>49</v>
      </c>
      <c r="AI42" s="34">
        <f t="shared" ca="1" si="24"/>
        <v>7847.5808116515836</v>
      </c>
      <c r="AJ42" s="35"/>
      <c r="AK42" s="36" t="s">
        <v>135</v>
      </c>
      <c r="AL42" s="37">
        <f t="shared" si="19"/>
        <v>2702000</v>
      </c>
      <c r="AM42" s="38">
        <f t="shared" ca="1" si="20"/>
        <v>0</v>
      </c>
      <c r="AN42" s="38">
        <f t="shared" ca="1" si="21"/>
        <v>2702000</v>
      </c>
      <c r="AO42" s="38">
        <f t="shared" ca="1" si="22"/>
        <v>2904689.423076923</v>
      </c>
      <c r="AP42" s="39">
        <f t="shared" ca="1" si="23"/>
        <v>5336354.951923077</v>
      </c>
    </row>
    <row r="43" spans="1:42" s="40" customFormat="1" ht="14.4">
      <c r="A43" s="25">
        <v>37</v>
      </c>
      <c r="B43" s="26" t="s">
        <v>136</v>
      </c>
      <c r="C43" s="26" t="s">
        <v>137</v>
      </c>
      <c r="D43" s="27">
        <v>2091948440</v>
      </c>
      <c r="E43" s="26" t="s">
        <v>134</v>
      </c>
      <c r="F43" s="28" t="s">
        <v>27</v>
      </c>
      <c r="G43" s="29">
        <v>26</v>
      </c>
      <c r="H43" s="31">
        <v>2600000</v>
      </c>
      <c r="I43" s="31">
        <f ca="1">SUMIF($B$7:$B$175,OT!B44,OT!$S$8:$S$160)</f>
        <v>0</v>
      </c>
      <c r="J43" s="30">
        <f ca="1">SUMIF($B$7:$B$136,เงินกะ!B44,เงินกะ!$M$8:$M$100)</f>
        <v>122187.5</v>
      </c>
      <c r="K43" s="31">
        <f>H43*15%/26*22</f>
        <v>330000</v>
      </c>
      <c r="L43" s="31">
        <v>0</v>
      </c>
      <c r="M43" s="31"/>
      <c r="N43" s="43"/>
      <c r="O43" s="31">
        <v>150000</v>
      </c>
      <c r="P43" s="31">
        <v>150000</v>
      </c>
      <c r="Q43" s="31">
        <v>200000</v>
      </c>
      <c r="R43" s="31">
        <v>1000000</v>
      </c>
      <c r="S43" s="31">
        <f>400000/26*22.5</f>
        <v>346153.84615384619</v>
      </c>
      <c r="T43" s="32">
        <f t="shared" ca="1" si="25"/>
        <v>4898341.346153846</v>
      </c>
      <c r="U43" s="33"/>
      <c r="V43" s="31">
        <f ca="1">SUMIF($B$7:$B$136,'ขาด-ลา-มาสาย'!B44,'ขาด-ลา-มาสาย'!$K$8:$K$100)</f>
        <v>60000</v>
      </c>
      <c r="W43" s="31">
        <f ca="1">SUMIF($B$7:$B$136,'ขาด-ลา-มาสาย'!B44,'ขาด-ลา-มาสาย'!$N$8:$N$100)</f>
        <v>0</v>
      </c>
      <c r="X43" s="31">
        <f ca="1">SUMIF($B$7:$B$136,'ขาด-ลา-มาสาย'!B44,'ขาด-ลา-มาสาย'!$Q$8:$Q$100)</f>
        <v>0</v>
      </c>
      <c r="Y43" s="31">
        <f ca="1">SUMIF($B$7:$B$136,'ขาด-ลา-มาสาย'!B44,'ขาด-ลา-มาสาย'!$T$8:$T$100)</f>
        <v>400000</v>
      </c>
      <c r="Z43" s="31">
        <f ca="1">SUMIF($B$7:$B$136,'ขาด-ลา-มาสาย'!B44,'ขาด-ลา-มาสาย'!$W$8:$W$100)</f>
        <v>0</v>
      </c>
      <c r="AA43" s="32">
        <f t="shared" ca="1" si="26"/>
        <v>460000</v>
      </c>
      <c r="AB43" s="33">
        <f t="shared" ca="1" si="27"/>
        <v>4438341.346153846</v>
      </c>
      <c r="AC43" s="31">
        <f t="shared" ca="1" si="31"/>
        <v>4238341.346153846</v>
      </c>
      <c r="AD43" s="31">
        <f t="shared" ca="1" si="28"/>
        <v>211917.06730769231</v>
      </c>
      <c r="AE43" s="32">
        <f t="shared" ca="1" si="29"/>
        <v>4226424.278846154</v>
      </c>
      <c r="AF43" s="32"/>
      <c r="AG43" s="32">
        <f t="shared" ca="1" si="30"/>
        <v>4226424.278846154</v>
      </c>
      <c r="AH43" s="31" t="s">
        <v>49</v>
      </c>
      <c r="AI43" s="34">
        <f t="shared" ca="1" si="24"/>
        <v>6215.329821832579</v>
      </c>
      <c r="AJ43" s="35"/>
      <c r="AK43" s="36" t="s">
        <v>20</v>
      </c>
      <c r="AL43" s="37">
        <f t="shared" si="19"/>
        <v>2600000</v>
      </c>
      <c r="AM43" s="38">
        <f t="shared" ca="1" si="20"/>
        <v>460000</v>
      </c>
      <c r="AN43" s="38">
        <f t="shared" ca="1" si="21"/>
        <v>2140000</v>
      </c>
      <c r="AO43" s="38">
        <f t="shared" ca="1" si="22"/>
        <v>2298341.346153846</v>
      </c>
      <c r="AP43" s="39">
        <f t="shared" ca="1" si="23"/>
        <v>4226424.278846154</v>
      </c>
    </row>
    <row r="44" spans="1:42" s="40" customFormat="1" ht="14.4">
      <c r="A44" s="25">
        <v>38</v>
      </c>
      <c r="B44" s="26" t="s">
        <v>138</v>
      </c>
      <c r="C44" s="26" t="s">
        <v>139</v>
      </c>
      <c r="D44" s="27">
        <v>2097690329</v>
      </c>
      <c r="E44" s="26" t="s">
        <v>134</v>
      </c>
      <c r="F44" s="28" t="s">
        <v>27</v>
      </c>
      <c r="G44" s="29">
        <v>26</v>
      </c>
      <c r="H44" s="31">
        <v>2600000</v>
      </c>
      <c r="I44" s="31">
        <f ca="1">SUMIF($B$7:$B$175,OT!B45,OT!$S$8:$S$160)</f>
        <v>0</v>
      </c>
      <c r="J44" s="30">
        <f ca="1">SUMIF($B$7:$B$136,เงินกะ!B45,เงินกะ!$M$8:$M$100)</f>
        <v>115000</v>
      </c>
      <c r="K44" s="31">
        <f>H44*15%/26*23</f>
        <v>345000</v>
      </c>
      <c r="L44" s="43"/>
      <c r="M44" s="31"/>
      <c r="N44" s="43"/>
      <c r="O44" s="31">
        <v>150000</v>
      </c>
      <c r="P44" s="31">
        <v>150000</v>
      </c>
      <c r="Q44" s="31">
        <v>200000</v>
      </c>
      <c r="R44" s="31">
        <v>1000000</v>
      </c>
      <c r="S44" s="31">
        <f>400000/26*23</f>
        <v>353846.15384615387</v>
      </c>
      <c r="T44" s="32">
        <f t="shared" ca="1" si="25"/>
        <v>4913846.153846154</v>
      </c>
      <c r="U44" s="33"/>
      <c r="V44" s="31">
        <f ca="1">SUMIF($B$7:$B$136,'ขาด-ลา-มาสาย'!B45,'ขาด-ลา-มาสาย'!$K$8:$K$100)</f>
        <v>10000</v>
      </c>
      <c r="W44" s="31">
        <f ca="1">SUMIF($B$7:$B$136,'ขาด-ลา-มาสาย'!B45,'ขาด-ลา-มาสาย'!$N$8:$N$100)</f>
        <v>0</v>
      </c>
      <c r="X44" s="31">
        <f ca="1">SUMIF($B$7:$B$136,'ขาด-ลา-มาสาย'!B45,'ขาด-ลา-มาสาย'!$Q$8:$Q$100)</f>
        <v>0</v>
      </c>
      <c r="Y44" s="31">
        <f ca="1">SUMIF($B$7:$B$136,'ขาด-ลา-มาสาย'!B45,'ขาด-ลา-มาสาย'!$T$8:$T$100)</f>
        <v>300000</v>
      </c>
      <c r="Z44" s="31">
        <f ca="1">SUMIF($B$7:$B$136,'ขาด-ลา-มาสาย'!B45,'ขาด-ลา-มาสาย'!$W$8:$W$100)</f>
        <v>0</v>
      </c>
      <c r="AA44" s="32">
        <f t="shared" ca="1" si="26"/>
        <v>310000</v>
      </c>
      <c r="AB44" s="33">
        <f t="shared" ca="1" si="27"/>
        <v>4603846.153846154</v>
      </c>
      <c r="AC44" s="31">
        <f t="shared" ca="1" si="31"/>
        <v>4403846.153846154</v>
      </c>
      <c r="AD44" s="31">
        <f t="shared" ca="1" si="28"/>
        <v>220192.30769230772</v>
      </c>
      <c r="AE44" s="32">
        <f t="shared" ca="1" si="29"/>
        <v>4383653.846153846</v>
      </c>
      <c r="AF44" s="32"/>
      <c r="AG44" s="32">
        <f t="shared" ca="1" si="30"/>
        <v>4383653.846153846</v>
      </c>
      <c r="AH44" s="31" t="s">
        <v>49</v>
      </c>
      <c r="AI44" s="34">
        <f t="shared" ca="1" si="24"/>
        <v>6446.5497737556561</v>
      </c>
      <c r="AJ44" s="35"/>
      <c r="AK44" s="36" t="s">
        <v>140</v>
      </c>
      <c r="AL44" s="37">
        <f t="shared" si="19"/>
        <v>2600000</v>
      </c>
      <c r="AM44" s="38">
        <f t="shared" ca="1" si="20"/>
        <v>310000</v>
      </c>
      <c r="AN44" s="38">
        <f t="shared" ca="1" si="21"/>
        <v>2290000</v>
      </c>
      <c r="AO44" s="38">
        <f t="shared" ca="1" si="22"/>
        <v>2313846.153846154</v>
      </c>
      <c r="AP44" s="39">
        <f t="shared" ca="1" si="23"/>
        <v>4383653.846153846</v>
      </c>
    </row>
    <row r="45" spans="1:42" s="40" customFormat="1" ht="14.4">
      <c r="A45" s="25">
        <v>39</v>
      </c>
      <c r="B45" s="26" t="s">
        <v>141</v>
      </c>
      <c r="C45" s="26" t="s">
        <v>142</v>
      </c>
      <c r="D45" s="27">
        <v>2076162127</v>
      </c>
      <c r="E45" s="26" t="s">
        <v>134</v>
      </c>
      <c r="F45" s="28" t="s">
        <v>27</v>
      </c>
      <c r="G45" s="29">
        <v>26</v>
      </c>
      <c r="H45" s="31">
        <v>2600000</v>
      </c>
      <c r="I45" s="31">
        <f ca="1">SUMIF($B$7:$B$175,OT!B46,OT!$S$8:$S$160)</f>
        <v>0</v>
      </c>
      <c r="J45" s="30">
        <f ca="1">SUMIF($B$7:$B$136,เงินกะ!B46,เงินกะ!$M$8:$M$100)</f>
        <v>129375</v>
      </c>
      <c r="K45" s="31">
        <f>H45*15%/26*23</f>
        <v>345000</v>
      </c>
      <c r="L45" s="31">
        <v>200000</v>
      </c>
      <c r="M45" s="31"/>
      <c r="N45" s="43"/>
      <c r="O45" s="31">
        <v>150000</v>
      </c>
      <c r="P45" s="31">
        <v>150000</v>
      </c>
      <c r="Q45" s="31">
        <v>200000</v>
      </c>
      <c r="R45" s="31">
        <v>1000000</v>
      </c>
      <c r="S45" s="31">
        <f>400000/26*23</f>
        <v>353846.15384615387</v>
      </c>
      <c r="T45" s="32">
        <f t="shared" ca="1" si="25"/>
        <v>5128221.153846154</v>
      </c>
      <c r="U45" s="33"/>
      <c r="V45" s="31">
        <f ca="1">SUMIF($B$7:$B$136,'ขาด-ลา-มาสาย'!B46,'ขาด-ลา-มาสาย'!$K$8:$K$100)</f>
        <v>0</v>
      </c>
      <c r="W45" s="31">
        <f ca="1">SUMIF($B$7:$B$136,'ขาด-ลา-มาสาย'!B46,'ขาด-ลา-มาสาย'!$N$8:$N$100)</f>
        <v>0</v>
      </c>
      <c r="X45" s="31">
        <f ca="1">SUMIF($B$7:$B$136,'ขาด-ลา-มาสาย'!B46,'ขาด-ลา-มาสาย'!$Q$8:$Q$100)</f>
        <v>0</v>
      </c>
      <c r="Y45" s="31">
        <f ca="1">SUMIF($B$7:$B$136,'ขาด-ลา-มาสาย'!B46,'ขาด-ลา-มาสาย'!$T$8:$T$100)</f>
        <v>300000</v>
      </c>
      <c r="Z45" s="31">
        <f ca="1">SUMIF($B$7:$B$136,'ขาด-ลา-มาสาย'!B46,'ขาด-ลา-มาสาย'!$W$8:$W$100)</f>
        <v>0</v>
      </c>
      <c r="AA45" s="32">
        <f t="shared" ca="1" si="26"/>
        <v>300000</v>
      </c>
      <c r="AB45" s="33">
        <f t="shared" ca="1" si="27"/>
        <v>4828221.153846154</v>
      </c>
      <c r="AC45" s="31">
        <f t="shared" ca="1" si="31"/>
        <v>4628221.153846154</v>
      </c>
      <c r="AD45" s="31">
        <f t="shared" ca="1" si="28"/>
        <v>231411.05769230772</v>
      </c>
      <c r="AE45" s="32">
        <f t="shared" ca="1" si="29"/>
        <v>4596810.096153846</v>
      </c>
      <c r="AF45" s="32"/>
      <c r="AG45" s="32">
        <f t="shared" ca="1" si="30"/>
        <v>4596810.096153846</v>
      </c>
      <c r="AH45" s="31" t="s">
        <v>49</v>
      </c>
      <c r="AI45" s="34">
        <f t="shared" ca="1" si="24"/>
        <v>6760.0148472850678</v>
      </c>
      <c r="AJ45" s="35"/>
      <c r="AK45" s="36" t="s">
        <v>20</v>
      </c>
      <c r="AL45" s="37">
        <f t="shared" si="19"/>
        <v>2600000</v>
      </c>
      <c r="AM45" s="38">
        <f t="shared" ca="1" si="20"/>
        <v>300000</v>
      </c>
      <c r="AN45" s="38">
        <f t="shared" ca="1" si="21"/>
        <v>2300000</v>
      </c>
      <c r="AO45" s="38">
        <f t="shared" ca="1" si="22"/>
        <v>2528221.153846154</v>
      </c>
      <c r="AP45" s="39">
        <f t="shared" ca="1" si="23"/>
        <v>4596810.096153846</v>
      </c>
    </row>
    <row r="46" spans="1:42" s="40" customFormat="1">
      <c r="A46" s="25">
        <v>40</v>
      </c>
      <c r="B46" s="26" t="s">
        <v>143</v>
      </c>
      <c r="C46" s="26" t="s">
        <v>144</v>
      </c>
      <c r="D46" s="27">
        <v>2059784851</v>
      </c>
      <c r="E46" s="26" t="s">
        <v>134</v>
      </c>
      <c r="F46" s="28" t="s">
        <v>27</v>
      </c>
      <c r="G46" s="29">
        <v>26</v>
      </c>
      <c r="H46" s="31">
        <v>2600000</v>
      </c>
      <c r="I46" s="31">
        <f ca="1">SUMIF($B$7:$B$175,OT!B47,OT!$S$8:$S$160)</f>
        <v>0</v>
      </c>
      <c r="J46" s="30">
        <f ca="1">SUMIF($B$7:$B$136,เงินกะ!B47,เงินกะ!$M$8:$M$100)</f>
        <v>143750</v>
      </c>
      <c r="K46" s="31">
        <f>H46*15%</f>
        <v>390000</v>
      </c>
      <c r="L46" s="31">
        <v>200000</v>
      </c>
      <c r="M46" s="31"/>
      <c r="N46" s="31">
        <v>250000</v>
      </c>
      <c r="O46" s="31">
        <v>150000</v>
      </c>
      <c r="P46" s="31">
        <v>150000</v>
      </c>
      <c r="Q46" s="31">
        <v>200000</v>
      </c>
      <c r="R46" s="31">
        <v>1000000</v>
      </c>
      <c r="S46" s="31">
        <v>400000</v>
      </c>
      <c r="T46" s="32">
        <f t="shared" ca="1" si="25"/>
        <v>5483750</v>
      </c>
      <c r="U46" s="33"/>
      <c r="V46" s="31">
        <f ca="1">SUMIF($B$7:$B$136,'ขาด-ลา-มาสาย'!B47,'ขาด-ลา-มาสาย'!$K$8:$K$100)</f>
        <v>0</v>
      </c>
      <c r="W46" s="31">
        <f ca="1">SUMIF($B$7:$B$136,'ขาด-ลา-มาสาย'!B47,'ขาด-ลา-มาสาย'!$N$8:$N$100)</f>
        <v>0</v>
      </c>
      <c r="X46" s="31">
        <f ca="1">SUMIF($B$7:$B$136,'ขาด-ลา-มาสาย'!B47,'ขาด-ลา-มาสาย'!$Q$8:$Q$100)</f>
        <v>0</v>
      </c>
      <c r="Y46" s="31">
        <f ca="1">SUMIF($B$7:$B$136,'ขาด-ลา-มาสาย'!B47,'ขาด-ลา-มาสาย'!$T$8:$T$100)</f>
        <v>0</v>
      </c>
      <c r="Z46" s="31">
        <f ca="1">SUMIF($B$7:$B$136,'ขาด-ลา-มาสาย'!B47,'ขาด-ลา-มาสาย'!$W$8:$W$100)</f>
        <v>0</v>
      </c>
      <c r="AA46" s="32">
        <f t="shared" ca="1" si="26"/>
        <v>0</v>
      </c>
      <c r="AB46" s="33">
        <f t="shared" ca="1" si="27"/>
        <v>5483750</v>
      </c>
      <c r="AC46" s="31">
        <f t="shared" ca="1" si="31"/>
        <v>5283750</v>
      </c>
      <c r="AD46" s="31">
        <f t="shared" ca="1" si="28"/>
        <v>264187.5</v>
      </c>
      <c r="AE46" s="32">
        <f t="shared" ca="1" si="29"/>
        <v>5219562.5</v>
      </c>
      <c r="AF46" s="32"/>
      <c r="AG46" s="32">
        <f t="shared" ca="1" si="30"/>
        <v>5219562.5</v>
      </c>
      <c r="AH46" s="31" t="s">
        <v>49</v>
      </c>
      <c r="AI46" s="34">
        <f t="shared" ca="1" si="24"/>
        <v>7675.8272058823532</v>
      </c>
      <c r="AJ46" s="35"/>
      <c r="AK46" s="36" t="s">
        <v>20</v>
      </c>
      <c r="AL46" s="37">
        <f t="shared" si="19"/>
        <v>2600000</v>
      </c>
      <c r="AM46" s="38">
        <f t="shared" ca="1" si="20"/>
        <v>0</v>
      </c>
      <c r="AN46" s="38">
        <f t="shared" ca="1" si="21"/>
        <v>2600000</v>
      </c>
      <c r="AO46" s="38">
        <f t="shared" ca="1" si="22"/>
        <v>2883750</v>
      </c>
      <c r="AP46" s="39">
        <f t="shared" ca="1" si="23"/>
        <v>5219562.5</v>
      </c>
    </row>
    <row r="47" spans="1:42" s="40" customFormat="1" ht="14.4">
      <c r="A47" s="25">
        <v>41</v>
      </c>
      <c r="B47" s="26" t="s">
        <v>145</v>
      </c>
      <c r="C47" s="26" t="s">
        <v>146</v>
      </c>
      <c r="D47" s="27">
        <v>2093462059</v>
      </c>
      <c r="E47" s="26" t="s">
        <v>134</v>
      </c>
      <c r="F47" s="28" t="s">
        <v>27</v>
      </c>
      <c r="G47" s="29">
        <v>26</v>
      </c>
      <c r="H47" s="31">
        <v>2600000</v>
      </c>
      <c r="I47" s="31">
        <f ca="1">SUMIF($B$7:$B$175,OT!B48,OT!$S$8:$S$160)</f>
        <v>0</v>
      </c>
      <c r="J47" s="30">
        <f ca="1">SUMIF($B$7:$B$136,เงินกะ!B48,เงินกะ!$M$8:$M$100)</f>
        <v>86250</v>
      </c>
      <c r="K47" s="31">
        <f>H47*15%/26*22</f>
        <v>330000</v>
      </c>
      <c r="L47" s="43"/>
      <c r="M47" s="31"/>
      <c r="N47" s="43"/>
      <c r="O47" s="31">
        <v>150000</v>
      </c>
      <c r="P47" s="31">
        <v>150000</v>
      </c>
      <c r="Q47" s="31">
        <v>200000</v>
      </c>
      <c r="R47" s="31">
        <v>1000000</v>
      </c>
      <c r="S47" s="31">
        <f>400000/26*22</f>
        <v>338461.53846153844</v>
      </c>
      <c r="T47" s="32">
        <f t="shared" ca="1" si="25"/>
        <v>4854711.538461538</v>
      </c>
      <c r="U47" s="33"/>
      <c r="V47" s="31">
        <f ca="1">SUMIF($B$7:$B$136,'ขาด-ลา-มาสาย'!B48,'ขาด-ลา-มาสาย'!$K$8:$K$100)</f>
        <v>0</v>
      </c>
      <c r="W47" s="31">
        <f ca="1">SUMIF($B$7:$B$136,'ขาด-ลา-มาสาย'!B48,'ขาด-ลา-มาสาย'!$N$8:$N$100)</f>
        <v>0</v>
      </c>
      <c r="X47" s="31">
        <f ca="1">SUMIF($B$7:$B$136,'ขาด-ลา-มาสาย'!B48,'ขาด-ลา-มาสาย'!$Q$8:$Q$100)</f>
        <v>0</v>
      </c>
      <c r="Y47" s="31">
        <f ca="1">SUMIF($B$7:$B$136,'ขาด-ลา-มาสาย'!B48,'ขาด-ลา-มาสาย'!$T$8:$T$100)</f>
        <v>400000</v>
      </c>
      <c r="Z47" s="31">
        <f ca="1">SUMIF($B$7:$B$136,'ขาด-ลา-มาสาย'!B48,'ขาด-ลา-มาสาย'!$W$8:$W$100)</f>
        <v>0</v>
      </c>
      <c r="AA47" s="32">
        <f t="shared" ca="1" si="26"/>
        <v>400000</v>
      </c>
      <c r="AB47" s="33">
        <f t="shared" ca="1" si="27"/>
        <v>4454711.538461538</v>
      </c>
      <c r="AC47" s="31">
        <f t="shared" ca="1" si="31"/>
        <v>4254711.538461538</v>
      </c>
      <c r="AD47" s="31">
        <f t="shared" ca="1" si="28"/>
        <v>212735.57692307691</v>
      </c>
      <c r="AE47" s="32">
        <f t="shared" ca="1" si="29"/>
        <v>4241975.961538461</v>
      </c>
      <c r="AF47" s="32"/>
      <c r="AG47" s="32">
        <f t="shared" ca="1" si="30"/>
        <v>4241975.961538461</v>
      </c>
      <c r="AH47" s="31" t="s">
        <v>49</v>
      </c>
      <c r="AI47" s="34">
        <f t="shared" ca="1" si="24"/>
        <v>6238.1999434389136</v>
      </c>
      <c r="AJ47" s="35"/>
      <c r="AK47" s="36" t="s">
        <v>20</v>
      </c>
      <c r="AL47" s="37">
        <f t="shared" si="19"/>
        <v>2600000</v>
      </c>
      <c r="AM47" s="38">
        <f t="shared" ca="1" si="20"/>
        <v>400000</v>
      </c>
      <c r="AN47" s="38">
        <f t="shared" ca="1" si="21"/>
        <v>2200000</v>
      </c>
      <c r="AO47" s="38">
        <f t="shared" ca="1" si="22"/>
        <v>2254711.5384615385</v>
      </c>
      <c r="AP47" s="39">
        <f t="shared" ca="1" si="23"/>
        <v>4241975.961538461</v>
      </c>
    </row>
    <row r="48" spans="1:42" s="40" customFormat="1">
      <c r="A48" s="25">
        <v>42</v>
      </c>
      <c r="B48" s="26" t="s">
        <v>147</v>
      </c>
      <c r="C48" s="26" t="s">
        <v>148</v>
      </c>
      <c r="D48" s="27">
        <v>2095105674</v>
      </c>
      <c r="E48" s="26" t="s">
        <v>134</v>
      </c>
      <c r="F48" s="28" t="s">
        <v>27</v>
      </c>
      <c r="G48" s="29">
        <v>26</v>
      </c>
      <c r="H48" s="31">
        <v>2500000</v>
      </c>
      <c r="I48" s="31">
        <f ca="1">SUMIF($B$7:$B$175,OT!B49,OT!$S$8:$S$160)</f>
        <v>0</v>
      </c>
      <c r="J48" s="30">
        <f ca="1">SUMIF($B$7:$B$136,เงินกะ!B49,เงินกะ!$M$8:$M$100)</f>
        <v>138221.15384615384</v>
      </c>
      <c r="K48" s="31">
        <f>H48*15%/26*20</f>
        <v>288461.5384615385</v>
      </c>
      <c r="L48" s="31">
        <f>200000/26*20</f>
        <v>153846.15384615384</v>
      </c>
      <c r="M48" s="31"/>
      <c r="N48" s="31">
        <f>250000/26*20</f>
        <v>192307.69230769231</v>
      </c>
      <c r="O48" s="31">
        <f>150000/26*20</f>
        <v>115384.61538461539</v>
      </c>
      <c r="P48" s="31">
        <f>150000/26*20</f>
        <v>115384.61538461539</v>
      </c>
      <c r="Q48" s="31">
        <f>200000/26*20</f>
        <v>153846.15384615384</v>
      </c>
      <c r="R48" s="31">
        <v>300000</v>
      </c>
      <c r="S48" s="31">
        <f>400000/26*20</f>
        <v>307692.30769230769</v>
      </c>
      <c r="T48" s="32">
        <f t="shared" ca="1" si="25"/>
        <v>4265144.2307692319</v>
      </c>
      <c r="U48" s="33"/>
      <c r="V48" s="31">
        <f ca="1">SUMIF($B$7:$B$136,'ขาด-ลา-มาสาย'!B49,'ขาด-ลา-มาสาย'!$K$8:$K$100)</f>
        <v>0</v>
      </c>
      <c r="W48" s="31">
        <f ca="1">SUMIF($B$7:$B$136,'ขาด-ลา-มาสาย'!B49,'ขาด-ลา-มาสาย'!$N$8:$N$100)</f>
        <v>0</v>
      </c>
      <c r="X48" s="31">
        <f ca="1">SUMIF($B$7:$B$136,'ขาด-ลา-มาสาย'!B49,'ขาด-ลา-มาสาย'!$Q$8:$Q$100)</f>
        <v>0</v>
      </c>
      <c r="Y48" s="31">
        <f ca="1">SUMIF($B$7:$B$136,'ขาด-ลา-มาสาย'!B49,'ขาด-ลา-มาสาย'!$T$8:$T$100)</f>
        <v>0</v>
      </c>
      <c r="Z48" s="31">
        <f ca="1">SUMIF($B$7:$B$136,'ขาด-ลา-มาสาย'!B49,'ขาด-ลา-มาสาย'!$W$8:$W$100)</f>
        <v>576923.07692307699</v>
      </c>
      <c r="AA48" s="32">
        <f t="shared" ca="1" si="26"/>
        <v>576923.07692307699</v>
      </c>
      <c r="AB48" s="33">
        <f t="shared" ca="1" si="27"/>
        <v>3688221.1538461549</v>
      </c>
      <c r="AC48" s="31">
        <f t="shared" ca="1" si="31"/>
        <v>3488221.1538461549</v>
      </c>
      <c r="AD48" s="31">
        <f t="shared" ca="1" si="28"/>
        <v>174411.05769230775</v>
      </c>
      <c r="AE48" s="32">
        <f t="shared" ca="1" si="29"/>
        <v>3513810.0961538469</v>
      </c>
      <c r="AF48" s="32"/>
      <c r="AG48" s="32">
        <f t="shared" ca="1" si="30"/>
        <v>3513810.0961538469</v>
      </c>
      <c r="AH48" s="31"/>
      <c r="AI48" s="34"/>
      <c r="AJ48" s="35"/>
      <c r="AK48" s="36"/>
      <c r="AL48" s="37"/>
      <c r="AM48" s="38"/>
      <c r="AN48" s="38"/>
      <c r="AO48" s="38"/>
      <c r="AP48" s="39"/>
    </row>
    <row r="49" spans="1:42" s="40" customFormat="1">
      <c r="A49" s="25">
        <v>43</v>
      </c>
      <c r="B49" s="26" t="s">
        <v>149</v>
      </c>
      <c r="C49" s="26" t="s">
        <v>150</v>
      </c>
      <c r="D49" s="27">
        <v>2077111088</v>
      </c>
      <c r="E49" s="26" t="s">
        <v>151</v>
      </c>
      <c r="F49" s="28" t="s">
        <v>27</v>
      </c>
      <c r="G49" s="29">
        <v>26</v>
      </c>
      <c r="H49" s="31">
        <v>4000000</v>
      </c>
      <c r="I49" s="31">
        <f ca="1">SUMIF($B$7:$B$175,OT!B50,OT!$S$8:$S$160)</f>
        <v>0</v>
      </c>
      <c r="J49" s="30">
        <f ca="1">SUMIF($B$7:$B$136,เงินกะ!B50,เงินกะ!$M$8:$M$100)</f>
        <v>0</v>
      </c>
      <c r="K49" s="42"/>
      <c r="L49" s="42"/>
      <c r="M49" s="31"/>
      <c r="N49" s="42"/>
      <c r="O49" s="42"/>
      <c r="P49" s="42"/>
      <c r="Q49" s="42"/>
      <c r="R49" s="31">
        <v>4000000</v>
      </c>
      <c r="S49" s="31">
        <f>400000/26*25</f>
        <v>384615.38461538462</v>
      </c>
      <c r="T49" s="32">
        <f t="shared" ca="1" si="25"/>
        <v>8384615.384615385</v>
      </c>
      <c r="U49" s="33">
        <v>88000</v>
      </c>
      <c r="V49" s="31">
        <f ca="1">SUMIF($B$7:$B$136,'ขาด-ลา-มาสาย'!B50,'ขาด-ลา-มาสาย'!$K$8:$K$100)</f>
        <v>0</v>
      </c>
      <c r="W49" s="31">
        <f ca="1">SUMIF($B$7:$B$136,'ขาด-ลา-มาสาย'!B50,'ขาด-ลา-มาสาย'!$N$8:$N$100)</f>
        <v>0</v>
      </c>
      <c r="X49" s="31">
        <f ca="1">SUMIF($B$7:$B$136,'ขาด-ลา-มาสาย'!B50,'ขาด-ลา-มาสาย'!$Q$8:$Q$100)</f>
        <v>0</v>
      </c>
      <c r="Y49" s="31">
        <f ca="1">SUMIF($B$7:$B$136,'ขาด-ลา-มาสาย'!B50,'ขาด-ลา-มาสาย'!$T$8:$T$100)</f>
        <v>153846.15384615384</v>
      </c>
      <c r="Z49" s="31">
        <f ca="1">SUMIF($B$7:$B$136,'ขาด-ลา-มาสาย'!B50,'ขาด-ลา-มาสาย'!$W$8:$W$100)</f>
        <v>0</v>
      </c>
      <c r="AA49" s="32">
        <f t="shared" ca="1" si="26"/>
        <v>241846.15384615384</v>
      </c>
      <c r="AB49" s="33">
        <f t="shared" ca="1" si="27"/>
        <v>8142769.230769231</v>
      </c>
      <c r="AC49" s="31">
        <f t="shared" ca="1" si="31"/>
        <v>7942769.230769231</v>
      </c>
      <c r="AD49" s="31">
        <f t="shared" ca="1" si="28"/>
        <v>397138.46153846156</v>
      </c>
      <c r="AE49" s="32">
        <f t="shared" ca="1" si="29"/>
        <v>7745630.769230769</v>
      </c>
      <c r="AF49" s="32"/>
      <c r="AG49" s="32">
        <f t="shared" ca="1" si="30"/>
        <v>7745630.769230769</v>
      </c>
      <c r="AH49" s="31" t="s">
        <v>49</v>
      </c>
      <c r="AI49" s="34">
        <f t="shared" ref="AI49:AI71" ca="1" si="32">AE49/680</f>
        <v>11390.633484162896</v>
      </c>
      <c r="AJ49" s="35"/>
      <c r="AK49" s="36" t="s">
        <v>152</v>
      </c>
      <c r="AL49" s="37">
        <f t="shared" ref="AL49:AL71" si="33">H49</f>
        <v>4000000</v>
      </c>
      <c r="AM49" s="38">
        <f t="shared" ref="AM49:AM71" ca="1" si="34">AA49</f>
        <v>241846.15384615384</v>
      </c>
      <c r="AN49" s="38">
        <f t="shared" ref="AN49:AN71" ca="1" si="35">AL49-AM49</f>
        <v>3758153.846153846</v>
      </c>
      <c r="AO49" s="38">
        <f t="shared" ref="AO49:AO71" ca="1" si="36">SUM(I49:S49)</f>
        <v>4384615.384615385</v>
      </c>
      <c r="AP49" s="39">
        <f t="shared" ref="AP49:AP71" ca="1" si="37">AE49</f>
        <v>7745630.769230769</v>
      </c>
    </row>
    <row r="50" spans="1:42" s="40" customFormat="1">
      <c r="A50" s="25">
        <v>44</v>
      </c>
      <c r="B50" s="26" t="s">
        <v>153</v>
      </c>
      <c r="C50" s="26" t="s">
        <v>154</v>
      </c>
      <c r="D50" s="27">
        <v>2058802628</v>
      </c>
      <c r="E50" s="26" t="s">
        <v>151</v>
      </c>
      <c r="F50" s="28" t="s">
        <v>27</v>
      </c>
      <c r="G50" s="29">
        <v>26</v>
      </c>
      <c r="H50" s="31">
        <v>2600000</v>
      </c>
      <c r="I50" s="31">
        <f ca="1">SUMIF($B$7:$B$175,OT!B51,OT!$S$8:$S$160)</f>
        <v>0</v>
      </c>
      <c r="J50" s="30">
        <f ca="1">SUMIF($B$7:$B$136,เงินกะ!B51,เงินกะ!$M$8:$M$100)</f>
        <v>172500</v>
      </c>
      <c r="K50" s="31">
        <f>H50*15%</f>
        <v>390000</v>
      </c>
      <c r="L50" s="31">
        <v>200000</v>
      </c>
      <c r="M50" s="31"/>
      <c r="N50" s="31">
        <v>250000</v>
      </c>
      <c r="O50" s="31">
        <v>150000</v>
      </c>
      <c r="P50" s="31">
        <v>150000</v>
      </c>
      <c r="Q50" s="31">
        <v>200000</v>
      </c>
      <c r="R50" s="31">
        <v>1000000</v>
      </c>
      <c r="S50" s="31">
        <f>400000/26*24</f>
        <v>369230.76923076925</v>
      </c>
      <c r="T50" s="32">
        <f t="shared" ca="1" si="25"/>
        <v>5481730.769230769</v>
      </c>
      <c r="U50" s="33"/>
      <c r="V50" s="31">
        <f ca="1">SUMIF($B$7:$B$136,'ขาด-ลา-มาสาย'!B51,'ขาด-ลา-มาสาย'!$K$8:$K$100)</f>
        <v>0</v>
      </c>
      <c r="W50" s="31">
        <f ca="1">SUMIF($B$7:$B$136,'ขาด-ลา-มาสาย'!B51,'ขาด-ลา-มาสาย'!$N$8:$N$100)</f>
        <v>0</v>
      </c>
      <c r="X50" s="31">
        <f ca="1">SUMIF($B$7:$B$136,'ขาด-ลา-มาสาย'!B51,'ขาด-ลา-มาสาย'!$Q$8:$Q$100)</f>
        <v>0</v>
      </c>
      <c r="Y50" s="31">
        <f ca="1">SUMIF($B$7:$B$136,'ขาด-ลา-มาสาย'!B51,'ขาด-ลา-มาสาย'!$T$8:$T$100)</f>
        <v>0</v>
      </c>
      <c r="Z50" s="31">
        <f ca="1">SUMIF($B$7:$B$136,'ขาด-ลา-มาสาย'!B51,'ขาด-ลา-มาสาย'!$W$8:$W$100)</f>
        <v>0</v>
      </c>
      <c r="AA50" s="32">
        <f t="shared" ca="1" si="26"/>
        <v>0</v>
      </c>
      <c r="AB50" s="33">
        <f t="shared" ca="1" si="27"/>
        <v>5481730.769230769</v>
      </c>
      <c r="AC50" s="31">
        <f t="shared" ca="1" si="31"/>
        <v>5281730.769230769</v>
      </c>
      <c r="AD50" s="31">
        <f t="shared" ca="1" si="28"/>
        <v>264086.53846153844</v>
      </c>
      <c r="AE50" s="32">
        <f t="shared" ca="1" si="29"/>
        <v>5217644.230769231</v>
      </c>
      <c r="AF50" s="32"/>
      <c r="AG50" s="32">
        <f t="shared" ca="1" si="30"/>
        <v>5217644.230769231</v>
      </c>
      <c r="AH50" s="31" t="s">
        <v>49</v>
      </c>
      <c r="AI50" s="34">
        <f t="shared" ca="1" si="32"/>
        <v>7673.0062217194572</v>
      </c>
      <c r="AJ50" s="35"/>
      <c r="AK50" s="36" t="s">
        <v>155</v>
      </c>
      <c r="AL50" s="37">
        <f t="shared" si="33"/>
        <v>2600000</v>
      </c>
      <c r="AM50" s="38">
        <f t="shared" ca="1" si="34"/>
        <v>0</v>
      </c>
      <c r="AN50" s="38">
        <f t="shared" ca="1" si="35"/>
        <v>2600000</v>
      </c>
      <c r="AO50" s="38">
        <f t="shared" ca="1" si="36"/>
        <v>2881730.769230769</v>
      </c>
      <c r="AP50" s="39">
        <f t="shared" ca="1" si="37"/>
        <v>5217644.230769231</v>
      </c>
    </row>
    <row r="51" spans="1:42" s="40" customFormat="1">
      <c r="A51" s="25">
        <v>45</v>
      </c>
      <c r="B51" s="26" t="s">
        <v>156</v>
      </c>
      <c r="C51" s="26" t="s">
        <v>157</v>
      </c>
      <c r="D51" s="27">
        <v>2099388176</v>
      </c>
      <c r="E51" s="26" t="s">
        <v>151</v>
      </c>
      <c r="F51" s="28" t="s">
        <v>27</v>
      </c>
      <c r="G51" s="29">
        <v>26</v>
      </c>
      <c r="H51" s="31">
        <v>2600000</v>
      </c>
      <c r="I51" s="31">
        <f ca="1">SUMIF($B$7:$B$175,OT!B52,OT!$S$8:$S$160)</f>
        <v>0</v>
      </c>
      <c r="J51" s="30">
        <f ca="1">SUMIF($B$7:$B$136,เงินกะ!B52,เงินกะ!$M$8:$M$100)</f>
        <v>172500</v>
      </c>
      <c r="K51" s="31">
        <f>H51*15%</f>
        <v>390000</v>
      </c>
      <c r="L51" s="31">
        <v>200000</v>
      </c>
      <c r="M51" s="31"/>
      <c r="N51" s="31">
        <v>250000</v>
      </c>
      <c r="O51" s="31">
        <v>150000</v>
      </c>
      <c r="P51" s="31">
        <v>150000</v>
      </c>
      <c r="Q51" s="31">
        <v>200000</v>
      </c>
      <c r="R51" s="31">
        <v>1000000</v>
      </c>
      <c r="S51" s="31">
        <v>400000</v>
      </c>
      <c r="T51" s="32">
        <f t="shared" ca="1" si="25"/>
        <v>5512500</v>
      </c>
      <c r="U51" s="33"/>
      <c r="V51" s="31">
        <f ca="1">SUMIF($B$7:$B$136,'ขาด-ลา-มาสาย'!B52,'ขาด-ลา-มาสาย'!$K$8:$K$100)</f>
        <v>0</v>
      </c>
      <c r="W51" s="31">
        <f ca="1">SUMIF($B$7:$B$136,'ขาด-ลา-มาสาย'!B52,'ขาด-ลา-มาสาย'!$N$8:$N$100)</f>
        <v>0</v>
      </c>
      <c r="X51" s="31">
        <f ca="1">SUMIF($B$7:$B$136,'ขาด-ลา-มาสาย'!B52,'ขาด-ลา-มาสาย'!$Q$8:$Q$100)</f>
        <v>0</v>
      </c>
      <c r="Y51" s="31">
        <f ca="1">SUMIF($B$7:$B$136,'ขาด-ลา-มาสาย'!B52,'ขาด-ลา-มาสาย'!$T$8:$T$100)</f>
        <v>0</v>
      </c>
      <c r="Z51" s="31">
        <f ca="1">SUMIF($B$7:$B$136,'ขาด-ลา-มาสาย'!B52,'ขาด-ลา-มาสาย'!$W$8:$W$100)</f>
        <v>0</v>
      </c>
      <c r="AA51" s="32">
        <f t="shared" ca="1" si="26"/>
        <v>0</v>
      </c>
      <c r="AB51" s="33">
        <f t="shared" ca="1" si="27"/>
        <v>5512500</v>
      </c>
      <c r="AC51" s="31">
        <f t="shared" ca="1" si="31"/>
        <v>5312500</v>
      </c>
      <c r="AD51" s="31">
        <f t="shared" ca="1" si="28"/>
        <v>265625</v>
      </c>
      <c r="AE51" s="32">
        <f t="shared" ca="1" si="29"/>
        <v>5246875</v>
      </c>
      <c r="AF51" s="32"/>
      <c r="AG51" s="32">
        <f t="shared" ca="1" si="30"/>
        <v>5246875</v>
      </c>
      <c r="AH51" s="31" t="s">
        <v>49</v>
      </c>
      <c r="AI51" s="34">
        <f t="shared" ca="1" si="32"/>
        <v>7715.9926470588234</v>
      </c>
      <c r="AJ51" s="35"/>
      <c r="AK51" s="36" t="s">
        <v>158</v>
      </c>
      <c r="AL51" s="37">
        <f t="shared" si="33"/>
        <v>2600000</v>
      </c>
      <c r="AM51" s="38">
        <f t="shared" ca="1" si="34"/>
        <v>0</v>
      </c>
      <c r="AN51" s="38">
        <f t="shared" ca="1" si="35"/>
        <v>2600000</v>
      </c>
      <c r="AO51" s="38">
        <f t="shared" ca="1" si="36"/>
        <v>2912500</v>
      </c>
      <c r="AP51" s="39">
        <f t="shared" ca="1" si="37"/>
        <v>5246875</v>
      </c>
    </row>
    <row r="52" spans="1:42" s="40" customFormat="1" ht="14.4">
      <c r="A52" s="25">
        <v>46</v>
      </c>
      <c r="B52" s="26" t="s">
        <v>159</v>
      </c>
      <c r="C52" s="26" t="s">
        <v>160</v>
      </c>
      <c r="D52" s="27">
        <v>2093107685</v>
      </c>
      <c r="E52" s="26" t="s">
        <v>151</v>
      </c>
      <c r="F52" s="28" t="s">
        <v>27</v>
      </c>
      <c r="G52" s="29">
        <v>26</v>
      </c>
      <c r="H52" s="31">
        <v>2600000</v>
      </c>
      <c r="I52" s="31">
        <f ca="1">SUMIF($B$7:$B$175,OT!B53,OT!$S$8:$S$160)</f>
        <v>0</v>
      </c>
      <c r="J52" s="30">
        <f ca="1">SUMIF($B$7:$B$136,เงินกะ!B53,เงินกะ!$M$8:$M$100)</f>
        <v>172500</v>
      </c>
      <c r="K52" s="31">
        <f>H52*15%/26*25</f>
        <v>375000</v>
      </c>
      <c r="L52" s="31">
        <v>200000</v>
      </c>
      <c r="M52" s="31"/>
      <c r="N52" s="43"/>
      <c r="O52" s="31">
        <v>150000</v>
      </c>
      <c r="P52" s="31">
        <v>150000</v>
      </c>
      <c r="Q52" s="31">
        <v>200000</v>
      </c>
      <c r="R52" s="31">
        <v>1000000</v>
      </c>
      <c r="S52" s="31">
        <f>400000/26*25</f>
        <v>384615.38461538462</v>
      </c>
      <c r="T52" s="32">
        <f t="shared" ca="1" si="25"/>
        <v>5232115.384615385</v>
      </c>
      <c r="U52" s="33"/>
      <c r="V52" s="31">
        <f ca="1">SUMIF($B$7:$B$136,'ขาด-ลา-มาสาย'!B53,'ขาด-ลา-มาสาย'!$K$8:$K$100)</f>
        <v>50000</v>
      </c>
      <c r="W52" s="31">
        <f ca="1">SUMIF($B$7:$B$136,'ขาด-ลา-มาสาย'!B53,'ขาด-ลา-มาสาย'!$N$8:$N$100)</f>
        <v>0</v>
      </c>
      <c r="X52" s="31">
        <f ca="1">SUMIF($B$7:$B$136,'ขาด-ลา-มาสาย'!B53,'ขาด-ลา-มาสาย'!$Q$8:$Q$100)</f>
        <v>0</v>
      </c>
      <c r="Y52" s="31">
        <f ca="1">SUMIF($B$7:$B$136,'ขาด-ลา-มาสาย'!B53,'ขาด-ลา-มาสาย'!$T$8:$T$100)</f>
        <v>100000</v>
      </c>
      <c r="Z52" s="31">
        <f ca="1">SUMIF($B$7:$B$136,'ขาด-ลา-มาสาย'!B53,'ขาด-ลา-มาสาย'!$W$8:$W$100)</f>
        <v>0</v>
      </c>
      <c r="AA52" s="32">
        <f t="shared" ca="1" si="26"/>
        <v>150000</v>
      </c>
      <c r="AB52" s="33">
        <f t="shared" ca="1" si="27"/>
        <v>5082115.384615385</v>
      </c>
      <c r="AC52" s="31">
        <f t="shared" ca="1" si="31"/>
        <v>4882115.384615385</v>
      </c>
      <c r="AD52" s="31">
        <f t="shared" ca="1" si="28"/>
        <v>244105.76923076925</v>
      </c>
      <c r="AE52" s="32">
        <f t="shared" ca="1" si="29"/>
        <v>4838009.615384616</v>
      </c>
      <c r="AF52" s="32"/>
      <c r="AG52" s="32">
        <f t="shared" ca="1" si="30"/>
        <v>4838009.615384616</v>
      </c>
      <c r="AH52" s="31" t="s">
        <v>49</v>
      </c>
      <c r="AI52" s="34">
        <f t="shared" ca="1" si="32"/>
        <v>7114.7200226244349</v>
      </c>
      <c r="AJ52" s="35"/>
      <c r="AK52" s="36" t="s">
        <v>20</v>
      </c>
      <c r="AL52" s="37">
        <f t="shared" si="33"/>
        <v>2600000</v>
      </c>
      <c r="AM52" s="38">
        <f t="shared" ca="1" si="34"/>
        <v>150000</v>
      </c>
      <c r="AN52" s="38">
        <f t="shared" ca="1" si="35"/>
        <v>2450000</v>
      </c>
      <c r="AO52" s="38">
        <f t="shared" ca="1" si="36"/>
        <v>2632115.3846153845</v>
      </c>
      <c r="AP52" s="39">
        <f t="shared" ca="1" si="37"/>
        <v>4838009.615384616</v>
      </c>
    </row>
    <row r="53" spans="1:42" s="40" customFormat="1" ht="14.4">
      <c r="A53" s="25">
        <v>47</v>
      </c>
      <c r="B53" s="26" t="s">
        <v>161</v>
      </c>
      <c r="C53" s="26" t="s">
        <v>162</v>
      </c>
      <c r="D53" s="27">
        <v>2094297776</v>
      </c>
      <c r="E53" s="26" t="s">
        <v>151</v>
      </c>
      <c r="F53" s="28" t="s">
        <v>27</v>
      </c>
      <c r="G53" s="29">
        <v>26</v>
      </c>
      <c r="H53" s="31">
        <v>2500000</v>
      </c>
      <c r="I53" s="31">
        <f ca="1">SUMIF($B$7:$B$175,OT!B54,OT!$S$8:$S$160)</f>
        <v>0</v>
      </c>
      <c r="J53" s="30">
        <f ca="1">SUMIF($B$7:$B$136,เงินกะ!B54,เงินกะ!$M$8:$M$100)</f>
        <v>165865.38461538462</v>
      </c>
      <c r="K53" s="31">
        <f>H53*15%/26*24</f>
        <v>346153.84615384619</v>
      </c>
      <c r="L53" s="43"/>
      <c r="M53" s="31"/>
      <c r="N53" s="43"/>
      <c r="O53" s="31">
        <v>150000</v>
      </c>
      <c r="P53" s="31">
        <v>150000</v>
      </c>
      <c r="Q53" s="31">
        <v>200000</v>
      </c>
      <c r="R53" s="31">
        <v>1000000</v>
      </c>
      <c r="S53" s="31">
        <f>400000/26*24</f>
        <v>369230.76923076925</v>
      </c>
      <c r="T53" s="32">
        <f t="shared" ca="1" si="25"/>
        <v>4881249.9999999991</v>
      </c>
      <c r="U53" s="33"/>
      <c r="V53" s="31">
        <f ca="1">SUMIF($B$7:$B$136,'ขาด-ลา-มาสาย'!B54,'ขาด-ลา-มาสาย'!$K$8:$K$100)</f>
        <v>0</v>
      </c>
      <c r="W53" s="31">
        <f ca="1">SUMIF($B$7:$B$136,'ขาด-ลา-มาสาย'!B54,'ขาด-ลา-มาสาย'!$N$8:$N$100)</f>
        <v>0</v>
      </c>
      <c r="X53" s="31">
        <f ca="1">SUMIF($B$7:$B$136,'ขาด-ลา-มาสาย'!B54,'ขาด-ลา-มาสาย'!$Q$8:$Q$100)</f>
        <v>0</v>
      </c>
      <c r="Y53" s="31">
        <f ca="1">SUMIF($B$7:$B$136,'ขาด-ลา-มาสาย'!B54,'ขาด-ลา-มาสาย'!$T$8:$T$100)</f>
        <v>192307.69230769231</v>
      </c>
      <c r="Z53" s="31">
        <f ca="1">SUMIF($B$7:$B$136,'ขาด-ลา-มาสาย'!B54,'ขาด-ลา-มาสาย'!$W$8:$W$100)</f>
        <v>0</v>
      </c>
      <c r="AA53" s="32">
        <f t="shared" ca="1" si="26"/>
        <v>192307.69230769231</v>
      </c>
      <c r="AB53" s="33">
        <f t="shared" ca="1" si="27"/>
        <v>4688942.307692307</v>
      </c>
      <c r="AC53" s="31">
        <f t="shared" ca="1" si="31"/>
        <v>4488942.307692307</v>
      </c>
      <c r="AD53" s="31">
        <f t="shared" ca="1" si="28"/>
        <v>224447.11538461538</v>
      </c>
      <c r="AE53" s="32">
        <f t="shared" ca="1" si="29"/>
        <v>4464495.192307692</v>
      </c>
      <c r="AF53" s="32"/>
      <c r="AG53" s="32">
        <f t="shared" ca="1" si="30"/>
        <v>4464495.192307692</v>
      </c>
      <c r="AH53" s="31" t="s">
        <v>49</v>
      </c>
      <c r="AI53" s="34">
        <f t="shared" ca="1" si="32"/>
        <v>6565.4341063348411</v>
      </c>
      <c r="AJ53" s="35"/>
      <c r="AK53" s="36" t="s">
        <v>20</v>
      </c>
      <c r="AL53" s="37">
        <f t="shared" si="33"/>
        <v>2500000</v>
      </c>
      <c r="AM53" s="38">
        <f t="shared" ca="1" si="34"/>
        <v>192307.69230769231</v>
      </c>
      <c r="AN53" s="38">
        <f t="shared" ca="1" si="35"/>
        <v>2307692.3076923075</v>
      </c>
      <c r="AO53" s="38">
        <f t="shared" ca="1" si="36"/>
        <v>2381250</v>
      </c>
      <c r="AP53" s="39">
        <f t="shared" ca="1" si="37"/>
        <v>4464495.192307692</v>
      </c>
    </row>
    <row r="54" spans="1:42" s="40" customFormat="1">
      <c r="A54" s="25">
        <v>48</v>
      </c>
      <c r="B54" s="26" t="s">
        <v>163</v>
      </c>
      <c r="C54" s="26" t="s">
        <v>164</v>
      </c>
      <c r="D54" s="27">
        <v>2098614922</v>
      </c>
      <c r="E54" s="26" t="s">
        <v>151</v>
      </c>
      <c r="F54" s="28" t="s">
        <v>27</v>
      </c>
      <c r="G54" s="29">
        <v>26</v>
      </c>
      <c r="H54" s="31">
        <v>2600000</v>
      </c>
      <c r="I54" s="31">
        <f ca="1">SUMIF($B$7:$B$175,OT!B55,OT!$S$8:$S$160)</f>
        <v>0</v>
      </c>
      <c r="J54" s="30">
        <f ca="1">SUMIF($B$7:$B$136,เงินกะ!B55,เงินกะ!$M$8:$M$100)</f>
        <v>172500</v>
      </c>
      <c r="K54" s="31">
        <f>H54*15%</f>
        <v>390000</v>
      </c>
      <c r="L54" s="31">
        <v>200000</v>
      </c>
      <c r="M54" s="31"/>
      <c r="N54" s="31">
        <v>250000</v>
      </c>
      <c r="O54" s="31">
        <v>150000</v>
      </c>
      <c r="P54" s="31">
        <v>150000</v>
      </c>
      <c r="Q54" s="31">
        <v>200000</v>
      </c>
      <c r="R54" s="31">
        <v>1000000</v>
      </c>
      <c r="S54" s="31">
        <v>400000</v>
      </c>
      <c r="T54" s="32">
        <f t="shared" ca="1" si="25"/>
        <v>5512500</v>
      </c>
      <c r="U54" s="33"/>
      <c r="V54" s="31">
        <f ca="1">SUMIF($B$7:$B$136,'ขาด-ลา-มาสาย'!B55,'ขาด-ลา-มาสาย'!$K$8:$K$100)</f>
        <v>0</v>
      </c>
      <c r="W54" s="31">
        <f ca="1">SUMIF($B$7:$B$136,'ขาด-ลา-มาสาย'!B55,'ขาด-ลา-มาสาย'!$N$8:$N$100)</f>
        <v>0</v>
      </c>
      <c r="X54" s="31">
        <f ca="1">SUMIF($B$7:$B$136,'ขาด-ลา-มาสาย'!B55,'ขาด-ลา-มาสาย'!$Q$8:$Q$100)</f>
        <v>0</v>
      </c>
      <c r="Y54" s="31">
        <f ca="1">SUMIF($B$7:$B$136,'ขาด-ลา-มาสาย'!B55,'ขาด-ลา-มาสาย'!$T$8:$T$100)</f>
        <v>0</v>
      </c>
      <c r="Z54" s="31">
        <f ca="1">SUMIF($B$7:$B$136,'ขาด-ลา-มาสาย'!B55,'ขาด-ลา-มาสาย'!$W$8:$W$100)</f>
        <v>0</v>
      </c>
      <c r="AA54" s="32">
        <f t="shared" ca="1" si="26"/>
        <v>0</v>
      </c>
      <c r="AB54" s="33">
        <f t="shared" ca="1" si="27"/>
        <v>5512500</v>
      </c>
      <c r="AC54" s="31">
        <f t="shared" ca="1" si="31"/>
        <v>5312500</v>
      </c>
      <c r="AD54" s="31">
        <f t="shared" ca="1" si="28"/>
        <v>265625</v>
      </c>
      <c r="AE54" s="32">
        <f t="shared" ca="1" si="29"/>
        <v>5246875</v>
      </c>
      <c r="AF54" s="32"/>
      <c r="AG54" s="32">
        <f t="shared" ca="1" si="30"/>
        <v>5246875</v>
      </c>
      <c r="AH54" s="31" t="s">
        <v>49</v>
      </c>
      <c r="AI54" s="34">
        <f t="shared" ca="1" si="32"/>
        <v>7715.9926470588234</v>
      </c>
      <c r="AJ54" s="35"/>
      <c r="AK54" s="36" t="s">
        <v>20</v>
      </c>
      <c r="AL54" s="37">
        <f t="shared" si="33"/>
        <v>2600000</v>
      </c>
      <c r="AM54" s="38">
        <f t="shared" ca="1" si="34"/>
        <v>0</v>
      </c>
      <c r="AN54" s="38">
        <f t="shared" ca="1" si="35"/>
        <v>2600000</v>
      </c>
      <c r="AO54" s="38">
        <f t="shared" ca="1" si="36"/>
        <v>2912500</v>
      </c>
      <c r="AP54" s="39">
        <f t="shared" ca="1" si="37"/>
        <v>5246875</v>
      </c>
    </row>
    <row r="55" spans="1:42" s="40" customFormat="1" ht="14.4">
      <c r="A55" s="25">
        <v>49</v>
      </c>
      <c r="B55" s="26" t="s">
        <v>165</v>
      </c>
      <c r="C55" s="26" t="s">
        <v>166</v>
      </c>
      <c r="D55" s="27">
        <v>2056183148</v>
      </c>
      <c r="E55" s="26" t="s">
        <v>151</v>
      </c>
      <c r="F55" s="28" t="s">
        <v>27</v>
      </c>
      <c r="G55" s="29">
        <v>26</v>
      </c>
      <c r="H55" s="31">
        <v>2500000</v>
      </c>
      <c r="I55" s="31">
        <f ca="1">SUMIF($B$7:$B$175,OT!B56,OT!$S$8:$S$160)</f>
        <v>0</v>
      </c>
      <c r="J55" s="30">
        <f ca="1">SUMIF($B$7:$B$136,เงินกะ!B56,เงินกะ!$M$8:$M$100)</f>
        <v>152043.26923076922</v>
      </c>
      <c r="K55" s="31">
        <f>H55*15%/26*24</f>
        <v>346153.84615384619</v>
      </c>
      <c r="L55" s="31">
        <v>200000</v>
      </c>
      <c r="M55" s="31"/>
      <c r="N55" s="43"/>
      <c r="O55" s="31">
        <v>150000</v>
      </c>
      <c r="P55" s="31">
        <v>150000</v>
      </c>
      <c r="Q55" s="31">
        <v>200000</v>
      </c>
      <c r="R55" s="31">
        <v>350000</v>
      </c>
      <c r="S55" s="31">
        <f>400000/26*24</f>
        <v>369230.76923076925</v>
      </c>
      <c r="T55" s="32">
        <f t="shared" ca="1" si="25"/>
        <v>4417427.884615384</v>
      </c>
      <c r="U55" s="33"/>
      <c r="V55" s="31">
        <f ca="1">SUMIF($B$7:$B$136,'ขาด-ลา-มาสาย'!B56,'ขาด-ลา-มาสาย'!$K$8:$K$100)</f>
        <v>0</v>
      </c>
      <c r="W55" s="31">
        <f ca="1">SUMIF($B$7:$B$136,'ขาด-ลา-มาสาย'!B56,'ขาด-ลา-มาสาย'!$N$8:$N$100)</f>
        <v>0</v>
      </c>
      <c r="X55" s="31">
        <f ca="1">SUMIF($B$7:$B$136,'ขาด-ลา-มาสาย'!B56,'ขาด-ลา-มาสาย'!$Q$8:$Q$100)</f>
        <v>0</v>
      </c>
      <c r="Y55" s="31">
        <f ca="1">SUMIF($B$7:$B$136,'ขาด-ลา-มาสาย'!B56,'ขาด-ลา-มาสาย'!$T$8:$T$100)</f>
        <v>192307.69230769231</v>
      </c>
      <c r="Z55" s="31">
        <f ca="1">SUMIF($B$7:$B$136,'ขาด-ลา-มาสาย'!B56,'ขาด-ลา-มาสาย'!$W$8:$W$100)</f>
        <v>0</v>
      </c>
      <c r="AA55" s="32">
        <f t="shared" ca="1" si="26"/>
        <v>192307.69230769231</v>
      </c>
      <c r="AB55" s="33">
        <f t="shared" ca="1" si="27"/>
        <v>4225120.192307692</v>
      </c>
      <c r="AC55" s="31">
        <f t="shared" ca="1" si="31"/>
        <v>4025120.192307692</v>
      </c>
      <c r="AD55" s="31">
        <f t="shared" ca="1" si="28"/>
        <v>201256.00961538462</v>
      </c>
      <c r="AE55" s="32">
        <f t="shared" ca="1" si="29"/>
        <v>4023864.1826923075</v>
      </c>
      <c r="AF55" s="32"/>
      <c r="AG55" s="32">
        <f t="shared" ca="1" si="30"/>
        <v>4023864.1826923075</v>
      </c>
      <c r="AH55" s="31" t="s">
        <v>49</v>
      </c>
      <c r="AI55" s="34">
        <f t="shared" ca="1" si="32"/>
        <v>5917.4473274886877</v>
      </c>
      <c r="AJ55" s="35"/>
      <c r="AK55" s="36" t="s">
        <v>20</v>
      </c>
      <c r="AL55" s="37">
        <f t="shared" si="33"/>
        <v>2500000</v>
      </c>
      <c r="AM55" s="38">
        <f t="shared" ca="1" si="34"/>
        <v>192307.69230769231</v>
      </c>
      <c r="AN55" s="38">
        <f t="shared" ca="1" si="35"/>
        <v>2307692.3076923075</v>
      </c>
      <c r="AO55" s="38">
        <f t="shared" ca="1" si="36"/>
        <v>1917427.8846153847</v>
      </c>
      <c r="AP55" s="39">
        <f t="shared" ca="1" si="37"/>
        <v>4023864.1826923075</v>
      </c>
    </row>
    <row r="56" spans="1:42" s="40" customFormat="1">
      <c r="A56" s="25">
        <v>50</v>
      </c>
      <c r="B56" s="26" t="s">
        <v>167</v>
      </c>
      <c r="C56" s="26" t="s">
        <v>168</v>
      </c>
      <c r="D56" s="27">
        <v>2097845973</v>
      </c>
      <c r="E56" s="26" t="s">
        <v>151</v>
      </c>
      <c r="F56" s="28" t="s">
        <v>27</v>
      </c>
      <c r="G56" s="29">
        <v>26</v>
      </c>
      <c r="H56" s="31">
        <v>2500000</v>
      </c>
      <c r="I56" s="31">
        <f ca="1">SUMIF($B$7:$B$175,OT!B57,OT!$S$8:$S$160)</f>
        <v>0</v>
      </c>
      <c r="J56" s="30">
        <f ca="1">SUMIF($B$7:$B$136,เงินกะ!B57,เงินกะ!$M$8:$M$100)</f>
        <v>82932.692307692312</v>
      </c>
      <c r="K56" s="31">
        <f>H56*15%/26*19</f>
        <v>274038.46153846156</v>
      </c>
      <c r="L56" s="31">
        <v>0</v>
      </c>
      <c r="M56" s="31"/>
      <c r="N56" s="31"/>
      <c r="O56" s="31">
        <f>150000/26*19</f>
        <v>109615.38461538462</v>
      </c>
      <c r="P56" s="31">
        <f>150000/26*19</f>
        <v>109615.38461538462</v>
      </c>
      <c r="Q56" s="31">
        <f>200000/26*20</f>
        <v>153846.15384615384</v>
      </c>
      <c r="R56" s="31">
        <v>300000</v>
      </c>
      <c r="S56" s="31">
        <f>400000/26*19</f>
        <v>292307.69230769231</v>
      </c>
      <c r="T56" s="32">
        <f t="shared" ca="1" si="25"/>
        <v>3822355.7692307695</v>
      </c>
      <c r="U56" s="33"/>
      <c r="V56" s="31">
        <f ca="1">SUMIF($B$7:$B$136,'ขาด-ลา-มาสาย'!B57,'ขาด-ลา-มาสาย'!$K$8:$K$100)</f>
        <v>0</v>
      </c>
      <c r="W56" s="31">
        <f ca="1">SUMIF($B$7:$B$136,'ขาด-ลา-มาสาย'!B57,'ขาด-ลา-มาสาย'!$N$8:$N$100)</f>
        <v>0</v>
      </c>
      <c r="X56" s="31">
        <f ca="1">SUMIF($B$7:$B$136,'ขาด-ลา-มาสาย'!B57,'ขาด-ลา-มาสาย'!$Q$8:$Q$100)</f>
        <v>0</v>
      </c>
      <c r="Y56" s="31">
        <f ca="1">SUMIF($B$7:$B$136,'ขาด-ลา-มาสาย'!B57,'ขาด-ลา-มาสาย'!$T$8:$T$100)</f>
        <v>96153.846153846156</v>
      </c>
      <c r="Z56" s="31">
        <f ca="1">SUMIF($B$7:$B$136,'ขาด-ลา-มาสาย'!B57,'ขาด-ลา-มาสาย'!$W$8:$W$100)</f>
        <v>576923.07692307699</v>
      </c>
      <c r="AA56" s="32">
        <f t="shared" ca="1" si="26"/>
        <v>673076.92307692312</v>
      </c>
      <c r="AB56" s="33">
        <f t="shared" ca="1" si="27"/>
        <v>3149278.8461538465</v>
      </c>
      <c r="AC56" s="31">
        <f t="shared" ca="1" si="31"/>
        <v>2949278.8461538465</v>
      </c>
      <c r="AD56" s="31">
        <f t="shared" ca="1" si="28"/>
        <v>147463.94230769234</v>
      </c>
      <c r="AE56" s="32">
        <f t="shared" ca="1" si="29"/>
        <v>3001814.903846154</v>
      </c>
      <c r="AF56" s="32"/>
      <c r="AG56" s="32">
        <f t="shared" ca="1" si="30"/>
        <v>3001814.903846154</v>
      </c>
      <c r="AH56" s="31"/>
      <c r="AI56" s="34">
        <f t="shared" ca="1" si="32"/>
        <v>4414.433682126697</v>
      </c>
      <c r="AJ56" s="35"/>
      <c r="AK56" s="36"/>
      <c r="AL56" s="37">
        <f t="shared" si="33"/>
        <v>2500000</v>
      </c>
      <c r="AM56" s="38">
        <f t="shared" ca="1" si="34"/>
        <v>673076.92307692312</v>
      </c>
      <c r="AN56" s="38">
        <f t="shared" ca="1" si="35"/>
        <v>1826923.076923077</v>
      </c>
      <c r="AO56" s="38">
        <f t="shared" ca="1" si="36"/>
        <v>1322355.7692307692</v>
      </c>
      <c r="AP56" s="39">
        <f t="shared" ca="1" si="37"/>
        <v>3001814.903846154</v>
      </c>
    </row>
    <row r="57" spans="1:42" s="40" customFormat="1">
      <c r="A57" s="25">
        <v>51</v>
      </c>
      <c r="B57" s="26" t="s">
        <v>169</v>
      </c>
      <c r="C57" s="26" t="s">
        <v>170</v>
      </c>
      <c r="D57" s="27">
        <v>2099481761</v>
      </c>
      <c r="E57" s="26" t="s">
        <v>171</v>
      </c>
      <c r="F57" s="28" t="s">
        <v>27</v>
      </c>
      <c r="G57" s="29">
        <v>26</v>
      </c>
      <c r="H57" s="31">
        <v>2865137.824</v>
      </c>
      <c r="I57" s="31">
        <f ca="1">SUMIF($B$7:$B$175,OT!B58,OT!$S$8:$S$160)</f>
        <v>0</v>
      </c>
      <c r="J57" s="30">
        <f ca="1">SUMIF($B$7:$B$136,เงินกะ!B58,เงินกะ!$M$8:$M$100)</f>
        <v>95045.43743076922</v>
      </c>
      <c r="K57" s="31"/>
      <c r="L57" s="31">
        <v>200000</v>
      </c>
      <c r="M57" s="31"/>
      <c r="N57" s="31">
        <v>250000</v>
      </c>
      <c r="O57" s="31">
        <v>150000</v>
      </c>
      <c r="P57" s="31">
        <v>150000</v>
      </c>
      <c r="Q57" s="31">
        <v>200000</v>
      </c>
      <c r="R57" s="31">
        <v>400000</v>
      </c>
      <c r="S57" s="31">
        <v>400000</v>
      </c>
      <c r="T57" s="32">
        <f t="shared" ca="1" si="25"/>
        <v>4710183.2614307692</v>
      </c>
      <c r="U57" s="33">
        <v>88000</v>
      </c>
      <c r="V57" s="31">
        <f ca="1">SUMIF($B$7:$B$136,'ขาด-ลา-มาสาย'!B58,'ขาด-ลา-มาสาย'!$K$8:$K$100)</f>
        <v>0</v>
      </c>
      <c r="W57" s="31">
        <f ca="1">SUMIF($B$7:$B$136,'ขาด-ลา-มาสาย'!B58,'ขาด-ลา-มาสาย'!$N$8:$N$100)</f>
        <v>0</v>
      </c>
      <c r="X57" s="31">
        <f ca="1">SUMIF($B$7:$B$136,'ขาด-ลา-มาสาย'!B58,'ขาด-ลา-มาสาย'!$Q$8:$Q$100)</f>
        <v>0</v>
      </c>
      <c r="Y57" s="31">
        <f ca="1">SUMIF($B$7:$B$136,'ขาด-ลา-มาสาย'!B58,'ขาด-ลา-มาสาย'!$T$8:$T$100)</f>
        <v>0</v>
      </c>
      <c r="Z57" s="31">
        <f ca="1">SUMIF($B$7:$B$136,'ขาด-ลา-มาสาย'!B58,'ขาด-ลา-มาสาย'!$W$8:$W$100)</f>
        <v>0</v>
      </c>
      <c r="AA57" s="32">
        <f t="shared" ca="1" si="26"/>
        <v>88000</v>
      </c>
      <c r="AB57" s="33">
        <f t="shared" ca="1" si="27"/>
        <v>4622183.2614307692</v>
      </c>
      <c r="AC57" s="31">
        <f t="shared" ca="1" si="31"/>
        <v>4422183.2614307692</v>
      </c>
      <c r="AD57" s="31">
        <f t="shared" ca="1" si="28"/>
        <v>221109.16307153847</v>
      </c>
      <c r="AE57" s="32">
        <f t="shared" ca="1" si="29"/>
        <v>4401074.0983592309</v>
      </c>
      <c r="AF57" s="32"/>
      <c r="AG57" s="32">
        <f t="shared" ca="1" si="30"/>
        <v>4401074.0983592309</v>
      </c>
      <c r="AH57" s="31" t="s">
        <v>49</v>
      </c>
      <c r="AI57" s="34">
        <f t="shared" ca="1" si="32"/>
        <v>6472.1677917047509</v>
      </c>
      <c r="AJ57" s="35"/>
      <c r="AK57" s="36" t="s">
        <v>172</v>
      </c>
      <c r="AL57" s="37">
        <f t="shared" si="33"/>
        <v>2865137.824</v>
      </c>
      <c r="AM57" s="38">
        <f t="shared" ca="1" si="34"/>
        <v>88000</v>
      </c>
      <c r="AN57" s="38">
        <f t="shared" ca="1" si="35"/>
        <v>2777137.824</v>
      </c>
      <c r="AO57" s="38">
        <f t="shared" ca="1" si="36"/>
        <v>1845045.4374307692</v>
      </c>
      <c r="AP57" s="39">
        <f t="shared" ca="1" si="37"/>
        <v>4401074.0983592309</v>
      </c>
    </row>
    <row r="58" spans="1:42" s="40" customFormat="1" ht="14.4">
      <c r="A58" s="25">
        <v>52</v>
      </c>
      <c r="B58" s="26" t="s">
        <v>173</v>
      </c>
      <c r="C58" s="26" t="s">
        <v>174</v>
      </c>
      <c r="D58" s="27">
        <v>2077053990</v>
      </c>
      <c r="E58" s="26" t="s">
        <v>171</v>
      </c>
      <c r="F58" s="28" t="s">
        <v>27</v>
      </c>
      <c r="G58" s="29">
        <v>26</v>
      </c>
      <c r="H58" s="31">
        <v>2600000</v>
      </c>
      <c r="I58" s="31">
        <f ca="1">SUMIF($B$7:$B$175,OT!B59,OT!$S$8:$S$160)</f>
        <v>0</v>
      </c>
      <c r="J58" s="30">
        <f ca="1">SUMIF($B$7:$B$136,เงินกะ!B59,เงินกะ!$M$8:$M$100)</f>
        <v>86250</v>
      </c>
      <c r="K58" s="31"/>
      <c r="L58" s="31">
        <v>200000</v>
      </c>
      <c r="M58" s="31"/>
      <c r="N58" s="43"/>
      <c r="O58" s="31">
        <v>150000</v>
      </c>
      <c r="P58" s="31">
        <v>150000</v>
      </c>
      <c r="Q58" s="31">
        <v>200000</v>
      </c>
      <c r="R58" s="31">
        <v>350000</v>
      </c>
      <c r="S58" s="31">
        <f>400000/26*23</f>
        <v>353846.15384615387</v>
      </c>
      <c r="T58" s="32">
        <f t="shared" ca="1" si="25"/>
        <v>4090096.153846154</v>
      </c>
      <c r="U58" s="33"/>
      <c r="V58" s="31">
        <f ca="1">SUMIF($B$7:$B$136,'ขาด-ลา-มาสาย'!B59,'ขาด-ลา-มาสาย'!$K$8:$K$100)</f>
        <v>0</v>
      </c>
      <c r="W58" s="31">
        <f ca="1">SUMIF($B$7:$B$136,'ขาด-ลา-มาสาย'!B59,'ขาด-ลา-มาสาย'!$N$8:$N$100)</f>
        <v>0</v>
      </c>
      <c r="X58" s="31">
        <f ca="1">SUMIF($B$7:$B$136,'ขาด-ลา-มาสาย'!B59,'ขาด-ลา-มาสาย'!$Q$8:$Q$100)</f>
        <v>0</v>
      </c>
      <c r="Y58" s="31">
        <f ca="1">SUMIF($B$7:$B$136,'ขาด-ลา-มาสาย'!B59,'ขาด-ลา-มาสาย'!$T$8:$T$100)</f>
        <v>200000</v>
      </c>
      <c r="Z58" s="31">
        <f ca="1">SUMIF($B$7:$B$136,'ขาด-ลา-มาสาย'!B59,'ขาด-ลา-มาสาย'!$W$8:$W$100)</f>
        <v>0</v>
      </c>
      <c r="AA58" s="32">
        <f t="shared" ca="1" si="26"/>
        <v>200000</v>
      </c>
      <c r="AB58" s="33">
        <f t="shared" ca="1" si="27"/>
        <v>3890096.153846154</v>
      </c>
      <c r="AC58" s="31">
        <f t="shared" ca="1" si="31"/>
        <v>3690096.153846154</v>
      </c>
      <c r="AD58" s="31">
        <f t="shared" ca="1" si="28"/>
        <v>184504.80769230772</v>
      </c>
      <c r="AE58" s="32">
        <f t="shared" ca="1" si="29"/>
        <v>3705591.3461538465</v>
      </c>
      <c r="AF58" s="32"/>
      <c r="AG58" s="32">
        <f t="shared" ca="1" si="30"/>
        <v>3705591.3461538465</v>
      </c>
      <c r="AH58" s="31" t="s">
        <v>49</v>
      </c>
      <c r="AI58" s="34">
        <f t="shared" ca="1" si="32"/>
        <v>5449.399038461539</v>
      </c>
      <c r="AJ58" s="35"/>
      <c r="AK58" s="36" t="s">
        <v>175</v>
      </c>
      <c r="AL58" s="37">
        <f t="shared" si="33"/>
        <v>2600000</v>
      </c>
      <c r="AM58" s="38">
        <f t="shared" ca="1" si="34"/>
        <v>200000</v>
      </c>
      <c r="AN58" s="38">
        <f t="shared" ca="1" si="35"/>
        <v>2400000</v>
      </c>
      <c r="AO58" s="38">
        <f t="shared" ca="1" si="36"/>
        <v>1490096.153846154</v>
      </c>
      <c r="AP58" s="39">
        <f t="shared" ca="1" si="37"/>
        <v>3705591.3461538465</v>
      </c>
    </row>
    <row r="59" spans="1:42" s="40" customFormat="1">
      <c r="A59" s="25">
        <v>53</v>
      </c>
      <c r="B59" s="26" t="s">
        <v>176</v>
      </c>
      <c r="C59" s="26" t="s">
        <v>177</v>
      </c>
      <c r="D59" s="27">
        <v>2051502770</v>
      </c>
      <c r="E59" s="26" t="s">
        <v>178</v>
      </c>
      <c r="F59" s="28" t="s">
        <v>27</v>
      </c>
      <c r="G59" s="29">
        <v>26</v>
      </c>
      <c r="H59" s="31">
        <v>2865137.824</v>
      </c>
      <c r="I59" s="31">
        <f ca="1">SUMIF($B$7:$B$175,OT!B60,OT!$S$8:$S$160)</f>
        <v>0</v>
      </c>
      <c r="J59" s="30">
        <f ca="1">SUMIF($B$7:$B$136,เงินกะ!B60,เงินกะ!$M$8:$M$100)</f>
        <v>95045.43743076922</v>
      </c>
      <c r="K59" s="31"/>
      <c r="L59" s="31">
        <v>200000</v>
      </c>
      <c r="M59" s="31"/>
      <c r="N59" s="31">
        <v>250000</v>
      </c>
      <c r="O59" s="31">
        <v>150000</v>
      </c>
      <c r="P59" s="31">
        <v>150000</v>
      </c>
      <c r="Q59" s="31">
        <v>200000</v>
      </c>
      <c r="R59" s="31">
        <v>400000</v>
      </c>
      <c r="S59" s="31">
        <v>400000</v>
      </c>
      <c r="T59" s="32">
        <f t="shared" ca="1" si="25"/>
        <v>4710183.2614307692</v>
      </c>
      <c r="U59" s="33">
        <v>88000</v>
      </c>
      <c r="V59" s="31">
        <f ca="1">SUMIF($B$7:$B$136,'ขาด-ลา-มาสาย'!B60,'ขาด-ลา-มาสาย'!$K$8:$K$100)</f>
        <v>0</v>
      </c>
      <c r="W59" s="31">
        <f ca="1">SUMIF($B$7:$B$136,'ขาด-ลา-มาสาย'!B60,'ขาด-ลา-มาสาย'!$N$8:$N$100)</f>
        <v>0</v>
      </c>
      <c r="X59" s="31">
        <f ca="1">SUMIF($B$7:$B$136,'ขาด-ลา-มาสาย'!B60,'ขาด-ลา-มาสาย'!$Q$8:$Q$100)</f>
        <v>0</v>
      </c>
      <c r="Y59" s="31">
        <f ca="1">SUMIF($B$7:$B$136,'ขาด-ลา-มาสาย'!B60,'ขาด-ลา-มาสาย'!$T$8:$T$100)</f>
        <v>0</v>
      </c>
      <c r="Z59" s="31">
        <f ca="1">SUMIF($B$7:$B$136,'ขาด-ลา-มาสาย'!B60,'ขาด-ลา-มาสาย'!$W$8:$W$100)</f>
        <v>0</v>
      </c>
      <c r="AA59" s="32">
        <f t="shared" ca="1" si="26"/>
        <v>88000</v>
      </c>
      <c r="AB59" s="33">
        <f t="shared" ca="1" si="27"/>
        <v>4622183.2614307692</v>
      </c>
      <c r="AC59" s="31">
        <f t="shared" ca="1" si="31"/>
        <v>4422183.2614307692</v>
      </c>
      <c r="AD59" s="31">
        <f t="shared" ca="1" si="28"/>
        <v>221109.16307153847</v>
      </c>
      <c r="AE59" s="32">
        <f t="shared" ca="1" si="29"/>
        <v>4401074.0983592309</v>
      </c>
      <c r="AF59" s="32"/>
      <c r="AG59" s="32">
        <f t="shared" ca="1" si="30"/>
        <v>4401074.0983592309</v>
      </c>
      <c r="AH59" s="31" t="s">
        <v>49</v>
      </c>
      <c r="AI59" s="34">
        <f t="shared" ca="1" si="32"/>
        <v>6472.1677917047509</v>
      </c>
      <c r="AJ59" s="35"/>
      <c r="AK59" s="36" t="s">
        <v>179</v>
      </c>
      <c r="AL59" s="37">
        <f t="shared" si="33"/>
        <v>2865137.824</v>
      </c>
      <c r="AM59" s="38">
        <f t="shared" ca="1" si="34"/>
        <v>88000</v>
      </c>
      <c r="AN59" s="38">
        <f t="shared" ca="1" si="35"/>
        <v>2777137.824</v>
      </c>
      <c r="AO59" s="38">
        <f t="shared" ca="1" si="36"/>
        <v>1845045.4374307692</v>
      </c>
      <c r="AP59" s="39">
        <f t="shared" ca="1" si="37"/>
        <v>4401074.0983592309</v>
      </c>
    </row>
    <row r="60" spans="1:42" s="40" customFormat="1" ht="14.4">
      <c r="A60" s="25">
        <v>54</v>
      </c>
      <c r="B60" s="26" t="s">
        <v>180</v>
      </c>
      <c r="C60" s="26" t="s">
        <v>181</v>
      </c>
      <c r="D60" s="27">
        <v>2091940060</v>
      </c>
      <c r="E60" s="26" t="s">
        <v>178</v>
      </c>
      <c r="F60" s="28" t="s">
        <v>27</v>
      </c>
      <c r="G60" s="29">
        <v>26</v>
      </c>
      <c r="H60" s="31">
        <v>2600000</v>
      </c>
      <c r="I60" s="31">
        <f ca="1">SUMIF($B$7:$B$175,OT!B61,OT!$S$8:$S$160)</f>
        <v>37500</v>
      </c>
      <c r="J60" s="30">
        <f ca="1">SUMIF($B$7:$B$136,เงินกะ!B61,เงินกะ!$M$8:$M$100)</f>
        <v>71875</v>
      </c>
      <c r="K60" s="31"/>
      <c r="L60" s="31">
        <v>200000</v>
      </c>
      <c r="M60" s="31"/>
      <c r="N60" s="43"/>
      <c r="O60" s="31">
        <v>150000</v>
      </c>
      <c r="P60" s="31">
        <v>150000</v>
      </c>
      <c r="Q60" s="31">
        <v>200000</v>
      </c>
      <c r="R60" s="31">
        <v>350000</v>
      </c>
      <c r="S60" s="31">
        <f>400000/26*24</f>
        <v>369230.76923076925</v>
      </c>
      <c r="T60" s="32">
        <f t="shared" ca="1" si="25"/>
        <v>4128605.769230769</v>
      </c>
      <c r="U60" s="33"/>
      <c r="V60" s="31">
        <f ca="1">SUMIF($B$7:$B$136,'ขาด-ลา-มาสาย'!B61,'ขาด-ลา-มาสาย'!$K$8:$K$100)</f>
        <v>0</v>
      </c>
      <c r="W60" s="31">
        <f ca="1">SUMIF($B$7:$B$136,'ขาด-ลา-มาสาย'!B61,'ขาด-ลา-มาสาย'!$N$8:$N$100)</f>
        <v>0</v>
      </c>
      <c r="X60" s="31">
        <f ca="1">SUMIF($B$7:$B$136,'ขาด-ลา-มาสาย'!B61,'ขาด-ลา-มาสาย'!$Q$8:$Q$100)</f>
        <v>0</v>
      </c>
      <c r="Y60" s="31">
        <f ca="1">SUMIF($B$7:$B$136,'ขาด-ลา-มาสาย'!B61,'ขาด-ลา-มาสาย'!$T$8:$T$100)</f>
        <v>200000</v>
      </c>
      <c r="Z60" s="31">
        <f ca="1">SUMIF($B$7:$B$136,'ขาด-ลา-มาสาย'!B61,'ขาด-ลา-มาสาย'!$W$8:$W$100)</f>
        <v>0</v>
      </c>
      <c r="AA60" s="32">
        <f t="shared" ca="1" si="26"/>
        <v>200000</v>
      </c>
      <c r="AB60" s="33">
        <f t="shared" ca="1" si="27"/>
        <v>3928605.769230769</v>
      </c>
      <c r="AC60" s="31">
        <f t="shared" ca="1" si="31"/>
        <v>3728605.769230769</v>
      </c>
      <c r="AD60" s="31">
        <f t="shared" ca="1" si="28"/>
        <v>186430.28846153847</v>
      </c>
      <c r="AE60" s="32">
        <f t="shared" ca="1" si="29"/>
        <v>3742175.4807692305</v>
      </c>
      <c r="AF60" s="32"/>
      <c r="AG60" s="32">
        <f t="shared" ca="1" si="30"/>
        <v>3742175.4807692305</v>
      </c>
      <c r="AH60" s="31" t="s">
        <v>49</v>
      </c>
      <c r="AI60" s="34">
        <f t="shared" ca="1" si="32"/>
        <v>5503.1992364253392</v>
      </c>
      <c r="AJ60" s="35"/>
      <c r="AK60" s="36" t="s">
        <v>182</v>
      </c>
      <c r="AL60" s="37">
        <f t="shared" si="33"/>
        <v>2600000</v>
      </c>
      <c r="AM60" s="38">
        <f t="shared" ca="1" si="34"/>
        <v>200000</v>
      </c>
      <c r="AN60" s="38">
        <f t="shared" ca="1" si="35"/>
        <v>2400000</v>
      </c>
      <c r="AO60" s="38">
        <f t="shared" ca="1" si="36"/>
        <v>1528605.7692307692</v>
      </c>
      <c r="AP60" s="39">
        <f t="shared" ca="1" si="37"/>
        <v>3742175.4807692305</v>
      </c>
    </row>
    <row r="61" spans="1:42" s="40" customFormat="1">
      <c r="A61" s="25">
        <v>55</v>
      </c>
      <c r="B61" s="26" t="s">
        <v>183</v>
      </c>
      <c r="C61" s="26" t="s">
        <v>184</v>
      </c>
      <c r="D61" s="27">
        <v>2051502770</v>
      </c>
      <c r="E61" s="26" t="s">
        <v>185</v>
      </c>
      <c r="F61" s="28" t="s">
        <v>27</v>
      </c>
      <c r="G61" s="29">
        <v>26</v>
      </c>
      <c r="H61" s="31">
        <v>3300000</v>
      </c>
      <c r="I61" s="31">
        <f ca="1">SUMIF($B$7:$B$175,OT!B62,OT!$S$8:$S$160)</f>
        <v>0</v>
      </c>
      <c r="J61" s="30">
        <f ca="1">SUMIF($B$7:$B$136,เงินกะ!B62,เงินกะ!$M$8:$M$100)</f>
        <v>109471.15384615384</v>
      </c>
      <c r="K61" s="31"/>
      <c r="L61" s="31">
        <v>200000</v>
      </c>
      <c r="M61" s="31"/>
      <c r="N61" s="31">
        <v>250000</v>
      </c>
      <c r="O61" s="31">
        <v>150000</v>
      </c>
      <c r="P61" s="31">
        <v>150000</v>
      </c>
      <c r="Q61" s="31">
        <v>200000</v>
      </c>
      <c r="R61" s="31">
        <v>1700000</v>
      </c>
      <c r="S61" s="31">
        <v>400000</v>
      </c>
      <c r="T61" s="32">
        <f t="shared" ca="1" si="25"/>
        <v>6459471.153846154</v>
      </c>
      <c r="U61" s="33">
        <v>88000</v>
      </c>
      <c r="V61" s="31">
        <f ca="1">SUMIF($B$7:$B$136,'ขาด-ลา-มาสาย'!B62,'ขาด-ลา-มาสาย'!$K$8:$K$100)</f>
        <v>0</v>
      </c>
      <c r="W61" s="31">
        <f ca="1">SUMIF($B$7:$B$136,'ขาด-ลา-มาสาย'!B62,'ขาด-ลา-มาสาย'!$N$8:$N$100)</f>
        <v>0</v>
      </c>
      <c r="X61" s="31">
        <f ca="1">SUMIF($B$7:$B$136,'ขาด-ลา-มาสาย'!B62,'ขาด-ลา-มาสาย'!$Q$8:$Q$100)</f>
        <v>0</v>
      </c>
      <c r="Y61" s="31">
        <f ca="1">SUMIF($B$7:$B$136,'ขาด-ลา-มาสาย'!B62,'ขาด-ลา-มาสาย'!$T$8:$T$100)</f>
        <v>0</v>
      </c>
      <c r="Z61" s="31">
        <f ca="1">SUMIF($B$7:$B$136,'ขาด-ลา-มาสาย'!B62,'ขาด-ลา-มาสาย'!$W$8:$W$100)</f>
        <v>0</v>
      </c>
      <c r="AA61" s="32">
        <f t="shared" ca="1" si="26"/>
        <v>88000</v>
      </c>
      <c r="AB61" s="33">
        <f t="shared" ca="1" si="27"/>
        <v>6371471.153846154</v>
      </c>
      <c r="AC61" s="31">
        <f t="shared" ca="1" si="31"/>
        <v>6171471.153846154</v>
      </c>
      <c r="AD61" s="31">
        <f t="shared" ca="1" si="28"/>
        <v>308573.55769230769</v>
      </c>
      <c r="AE61" s="32">
        <f t="shared" ca="1" si="29"/>
        <v>6062897.596153846</v>
      </c>
      <c r="AF61" s="32"/>
      <c r="AG61" s="32">
        <f t="shared" ca="1" si="30"/>
        <v>6062897.596153846</v>
      </c>
      <c r="AH61" s="31" t="s">
        <v>49</v>
      </c>
      <c r="AI61" s="34">
        <f t="shared" ca="1" si="32"/>
        <v>8916.0258766968327</v>
      </c>
      <c r="AJ61" s="35"/>
      <c r="AK61" s="36" t="s">
        <v>186</v>
      </c>
      <c r="AL61" s="37">
        <f t="shared" si="33"/>
        <v>3300000</v>
      </c>
      <c r="AM61" s="38">
        <f t="shared" ca="1" si="34"/>
        <v>88000</v>
      </c>
      <c r="AN61" s="38">
        <f t="shared" ca="1" si="35"/>
        <v>3212000</v>
      </c>
      <c r="AO61" s="38">
        <f t="shared" ca="1" si="36"/>
        <v>3159471.153846154</v>
      </c>
      <c r="AP61" s="39">
        <f t="shared" ca="1" si="37"/>
        <v>6062897.596153846</v>
      </c>
    </row>
    <row r="62" spans="1:42" s="40" customFormat="1">
      <c r="A62" s="25">
        <v>56</v>
      </c>
      <c r="B62" s="26" t="s">
        <v>187</v>
      </c>
      <c r="C62" s="26" t="s">
        <v>188</v>
      </c>
      <c r="D62" s="27">
        <v>2095818828</v>
      </c>
      <c r="E62" s="26" t="s">
        <v>185</v>
      </c>
      <c r="F62" s="28" t="s">
        <v>27</v>
      </c>
      <c r="G62" s="29">
        <v>26</v>
      </c>
      <c r="H62" s="31">
        <v>2600000</v>
      </c>
      <c r="I62" s="31">
        <f ca="1">SUMIF($B$7:$B$175,OT!B63,OT!$S$8:$S$160)</f>
        <v>0</v>
      </c>
      <c r="J62" s="30">
        <f ca="1">SUMIF($B$7:$B$136,เงินกะ!B63,เงินกะ!$M$8:$M$100)</f>
        <v>86250</v>
      </c>
      <c r="K62" s="31"/>
      <c r="L62" s="31">
        <v>200000</v>
      </c>
      <c r="M62" s="31"/>
      <c r="N62" s="31">
        <v>250000</v>
      </c>
      <c r="O62" s="31">
        <v>150000</v>
      </c>
      <c r="P62" s="31">
        <v>150000</v>
      </c>
      <c r="Q62" s="31">
        <v>200000</v>
      </c>
      <c r="R62" s="31">
        <v>350000</v>
      </c>
      <c r="S62" s="31">
        <v>400000</v>
      </c>
      <c r="T62" s="32">
        <f t="shared" ca="1" si="25"/>
        <v>4386250</v>
      </c>
      <c r="U62" s="33"/>
      <c r="V62" s="31">
        <f ca="1">SUMIF($B$7:$B$136,'ขาด-ลา-มาสาย'!B63,'ขาด-ลา-มาสาย'!$K$8:$K$100)</f>
        <v>0</v>
      </c>
      <c r="W62" s="31">
        <f ca="1">SUMIF($B$7:$B$136,'ขาด-ลา-มาสาย'!B63,'ขาด-ลา-มาสาย'!$N$8:$N$100)</f>
        <v>0</v>
      </c>
      <c r="X62" s="31">
        <f ca="1">SUMIF($B$7:$B$136,'ขาด-ลา-มาสาย'!B63,'ขาด-ลา-มาสาย'!$Q$8:$Q$100)</f>
        <v>0</v>
      </c>
      <c r="Y62" s="31">
        <f ca="1">SUMIF($B$7:$B$136,'ขาด-ลา-มาสาย'!B63,'ขาด-ลา-มาสาย'!$T$8:$T$100)</f>
        <v>0</v>
      </c>
      <c r="Z62" s="31">
        <f ca="1">SUMIF($B$7:$B$136,'ขาด-ลา-มาสาย'!B63,'ขาด-ลา-มาสาย'!$W$8:$W$100)</f>
        <v>0</v>
      </c>
      <c r="AA62" s="32">
        <f t="shared" ca="1" si="26"/>
        <v>0</v>
      </c>
      <c r="AB62" s="33">
        <f t="shared" ca="1" si="27"/>
        <v>4386250</v>
      </c>
      <c r="AC62" s="31">
        <f t="shared" ca="1" si="31"/>
        <v>4186250</v>
      </c>
      <c r="AD62" s="31">
        <f t="shared" ca="1" si="28"/>
        <v>209312.5</v>
      </c>
      <c r="AE62" s="32">
        <f t="shared" ca="1" si="29"/>
        <v>4176937.5</v>
      </c>
      <c r="AF62" s="32"/>
      <c r="AG62" s="32">
        <f t="shared" ca="1" si="30"/>
        <v>4176937.5</v>
      </c>
      <c r="AH62" s="31" t="s">
        <v>49</v>
      </c>
      <c r="AI62" s="34">
        <f t="shared" ca="1" si="32"/>
        <v>6142.5551470588234</v>
      </c>
      <c r="AJ62" s="35"/>
      <c r="AK62" s="36" t="s">
        <v>189</v>
      </c>
      <c r="AL62" s="37">
        <f t="shared" si="33"/>
        <v>2600000</v>
      </c>
      <c r="AM62" s="38">
        <f t="shared" ca="1" si="34"/>
        <v>0</v>
      </c>
      <c r="AN62" s="38">
        <f t="shared" ca="1" si="35"/>
        <v>2600000</v>
      </c>
      <c r="AO62" s="38">
        <f t="shared" ca="1" si="36"/>
        <v>1786250</v>
      </c>
      <c r="AP62" s="39">
        <f t="shared" ca="1" si="37"/>
        <v>4176937.5</v>
      </c>
    </row>
    <row r="63" spans="1:42" s="40" customFormat="1">
      <c r="A63" s="25">
        <v>57</v>
      </c>
      <c r="B63" s="26" t="s">
        <v>190</v>
      </c>
      <c r="C63" s="26" t="s">
        <v>191</v>
      </c>
      <c r="D63" s="27">
        <v>2096080362</v>
      </c>
      <c r="E63" s="26" t="s">
        <v>185</v>
      </c>
      <c r="F63" s="28" t="s">
        <v>27</v>
      </c>
      <c r="G63" s="29">
        <v>26</v>
      </c>
      <c r="H63" s="31">
        <v>2668000</v>
      </c>
      <c r="I63" s="31">
        <f ca="1">SUMIF($B$7:$B$175,OT!B64,OT!$S$8:$S$160)</f>
        <v>0</v>
      </c>
      <c r="J63" s="30">
        <f ca="1">SUMIF($B$7:$B$136,เงินกะ!B64,เงินกะ!$M$8:$M$100)</f>
        <v>88505.76923076922</v>
      </c>
      <c r="K63" s="31"/>
      <c r="L63" s="31">
        <v>200000</v>
      </c>
      <c r="M63" s="31"/>
      <c r="N63" s="31">
        <v>250000</v>
      </c>
      <c r="O63" s="31">
        <v>150000</v>
      </c>
      <c r="P63" s="31">
        <v>150000</v>
      </c>
      <c r="Q63" s="31">
        <v>200000</v>
      </c>
      <c r="R63" s="31">
        <v>350000</v>
      </c>
      <c r="S63" s="31">
        <v>400000</v>
      </c>
      <c r="T63" s="32">
        <f t="shared" ca="1" si="25"/>
        <v>4456505.769230769</v>
      </c>
      <c r="U63" s="33"/>
      <c r="V63" s="31">
        <f ca="1">SUMIF($B$7:$B$136,'ขาด-ลา-มาสาย'!B64,'ขาด-ลา-มาสาย'!$K$8:$K$100)</f>
        <v>0</v>
      </c>
      <c r="W63" s="31">
        <f ca="1">SUMIF($B$7:$B$136,'ขาด-ลา-มาสาย'!B64,'ขาด-ลา-มาสาย'!$N$8:$N$100)</f>
        <v>0</v>
      </c>
      <c r="X63" s="31">
        <f ca="1">SUMIF($B$7:$B$136,'ขาด-ลา-มาสาย'!B64,'ขาด-ลา-มาสาย'!$Q$8:$Q$100)</f>
        <v>0</v>
      </c>
      <c r="Y63" s="31">
        <f ca="1">SUMIF($B$7:$B$136,'ขาด-ลา-มาสาย'!B64,'ขาด-ลา-มาสาย'!$T$8:$T$100)</f>
        <v>0</v>
      </c>
      <c r="Z63" s="31">
        <f ca="1">SUMIF($B$7:$B$136,'ขาด-ลา-มาสาย'!B64,'ขาด-ลา-มาสาย'!$W$8:$W$100)</f>
        <v>0</v>
      </c>
      <c r="AA63" s="32">
        <f t="shared" ca="1" si="26"/>
        <v>0</v>
      </c>
      <c r="AB63" s="33">
        <f t="shared" ca="1" si="27"/>
        <v>4456505.769230769</v>
      </c>
      <c r="AC63" s="31">
        <f t="shared" ca="1" si="31"/>
        <v>4256505.769230769</v>
      </c>
      <c r="AD63" s="31">
        <f t="shared" ca="1" si="28"/>
        <v>212825.28846153847</v>
      </c>
      <c r="AE63" s="32">
        <f t="shared" ca="1" si="29"/>
        <v>4243680.480769231</v>
      </c>
      <c r="AF63" s="32"/>
      <c r="AG63" s="32">
        <f t="shared" ca="1" si="30"/>
        <v>4243680.480769231</v>
      </c>
      <c r="AH63" s="31" t="s">
        <v>49</v>
      </c>
      <c r="AI63" s="34">
        <f t="shared" ca="1" si="32"/>
        <v>6240.7065893665158</v>
      </c>
      <c r="AJ63" s="35"/>
      <c r="AK63" s="36" t="s">
        <v>192</v>
      </c>
      <c r="AL63" s="37">
        <f t="shared" si="33"/>
        <v>2668000</v>
      </c>
      <c r="AM63" s="38">
        <f t="shared" ca="1" si="34"/>
        <v>0</v>
      </c>
      <c r="AN63" s="38">
        <f t="shared" ca="1" si="35"/>
        <v>2668000</v>
      </c>
      <c r="AO63" s="38">
        <f t="shared" ca="1" si="36"/>
        <v>1788505.7692307692</v>
      </c>
      <c r="AP63" s="39">
        <f t="shared" ca="1" si="37"/>
        <v>4243680.480769231</v>
      </c>
    </row>
    <row r="64" spans="1:42" s="40" customFormat="1" ht="14.4">
      <c r="A64" s="25">
        <v>58</v>
      </c>
      <c r="B64" s="26" t="s">
        <v>193</v>
      </c>
      <c r="C64" s="26" t="s">
        <v>194</v>
      </c>
      <c r="D64" s="27">
        <v>2058128091</v>
      </c>
      <c r="E64" s="26" t="s">
        <v>185</v>
      </c>
      <c r="F64" s="28" t="s">
        <v>27</v>
      </c>
      <c r="G64" s="29">
        <v>26</v>
      </c>
      <c r="H64" s="31">
        <v>2600000</v>
      </c>
      <c r="I64" s="31">
        <f ca="1">SUMIF($B$7:$B$175,OT!B65,OT!$S$8:$S$160)</f>
        <v>0</v>
      </c>
      <c r="J64" s="30">
        <f ca="1">SUMIF($B$7:$B$136,เงินกะ!B65,เงินกะ!$M$8:$M$100)</f>
        <v>71875</v>
      </c>
      <c r="K64" s="31"/>
      <c r="L64" s="31">
        <v>200000</v>
      </c>
      <c r="M64" s="31"/>
      <c r="N64" s="43"/>
      <c r="O64" s="31">
        <v>150000</v>
      </c>
      <c r="P64" s="31">
        <v>150000</v>
      </c>
      <c r="Q64" s="31">
        <v>200000</v>
      </c>
      <c r="R64" s="31">
        <v>350000</v>
      </c>
      <c r="S64" s="31">
        <f>400000/26*25</f>
        <v>384615.38461538462</v>
      </c>
      <c r="T64" s="32">
        <f t="shared" ca="1" si="25"/>
        <v>4106490.3846153845</v>
      </c>
      <c r="U64" s="33"/>
      <c r="V64" s="31">
        <f ca="1">SUMIF($B$7:$B$136,'ขาด-ลา-มาสาย'!B65,'ขาด-ลา-มาสาย'!$K$8:$K$100)</f>
        <v>10000</v>
      </c>
      <c r="W64" s="31">
        <f ca="1">SUMIF($B$7:$B$136,'ขาด-ลา-มาสาย'!B65,'ขาด-ลา-มาสาย'!$N$8:$N$100)</f>
        <v>0</v>
      </c>
      <c r="X64" s="31">
        <f ca="1">SUMIF($B$7:$B$136,'ขาด-ลา-มาสาย'!B65,'ขาด-ลา-มาสาย'!$Q$8:$Q$100)</f>
        <v>0</v>
      </c>
      <c r="Y64" s="31">
        <f ca="1">SUMIF($B$7:$B$136,'ขาด-ลา-มาสาย'!B65,'ขาด-ลา-มาสาย'!$T$8:$T$100)</f>
        <v>100000</v>
      </c>
      <c r="Z64" s="31">
        <f ca="1">SUMIF($B$7:$B$136,'ขาด-ลา-มาสาย'!B65,'ขาด-ลา-มาสาย'!$W$8:$W$100)</f>
        <v>0</v>
      </c>
      <c r="AA64" s="32">
        <f t="shared" ca="1" si="26"/>
        <v>110000</v>
      </c>
      <c r="AB64" s="33">
        <f t="shared" ca="1" si="27"/>
        <v>3996490.3846153845</v>
      </c>
      <c r="AC64" s="31">
        <f t="shared" ca="1" si="31"/>
        <v>3796490.3846153845</v>
      </c>
      <c r="AD64" s="31">
        <f t="shared" ca="1" si="28"/>
        <v>189824.51923076925</v>
      </c>
      <c r="AE64" s="32">
        <f t="shared" ca="1" si="29"/>
        <v>3806665.865384615</v>
      </c>
      <c r="AF64" s="32"/>
      <c r="AG64" s="32">
        <f t="shared" ca="1" si="30"/>
        <v>3806665.865384615</v>
      </c>
      <c r="AH64" s="31" t="s">
        <v>49</v>
      </c>
      <c r="AI64" s="34">
        <f t="shared" ca="1" si="32"/>
        <v>5598.038037330316</v>
      </c>
      <c r="AJ64" s="35"/>
      <c r="AK64" s="36" t="s">
        <v>195</v>
      </c>
      <c r="AL64" s="37">
        <f t="shared" si="33"/>
        <v>2600000</v>
      </c>
      <c r="AM64" s="38">
        <f t="shared" ca="1" si="34"/>
        <v>110000</v>
      </c>
      <c r="AN64" s="38">
        <f t="shared" ca="1" si="35"/>
        <v>2490000</v>
      </c>
      <c r="AO64" s="38">
        <f t="shared" ca="1" si="36"/>
        <v>1506490.3846153845</v>
      </c>
      <c r="AP64" s="39">
        <f t="shared" ca="1" si="37"/>
        <v>3806665.865384615</v>
      </c>
    </row>
    <row r="65" spans="1:42" s="40" customFormat="1">
      <c r="A65" s="25">
        <v>59</v>
      </c>
      <c r="B65" s="26" t="s">
        <v>196</v>
      </c>
      <c r="C65" s="45" t="s">
        <v>197</v>
      </c>
      <c r="D65" s="27">
        <v>2077315902</v>
      </c>
      <c r="E65" s="26" t="s">
        <v>185</v>
      </c>
      <c r="F65" s="28" t="s">
        <v>27</v>
      </c>
      <c r="G65" s="29">
        <v>26</v>
      </c>
      <c r="H65" s="31">
        <v>2500000</v>
      </c>
      <c r="I65" s="31">
        <f ca="1">SUMIF($B$7:$B$175,OT!B66,OT!$S$8:$S$160)</f>
        <v>0</v>
      </c>
      <c r="J65" s="30">
        <f ca="1">SUMIF($B$7:$B$136,เงินกะ!B66,เงินกะ!$M$8:$M$100)</f>
        <v>41466.346153846156</v>
      </c>
      <c r="K65" s="31"/>
      <c r="L65" s="46"/>
      <c r="M65" s="31"/>
      <c r="N65" s="46"/>
      <c r="O65" s="31">
        <f>150000/26*14</f>
        <v>80769.23076923078</v>
      </c>
      <c r="P65" s="31">
        <f>150000/26*14</f>
        <v>80769.23076923078</v>
      </c>
      <c r="Q65" s="46"/>
      <c r="R65" s="31">
        <f>350000/26*14</f>
        <v>188461.53846153844</v>
      </c>
      <c r="S65" s="31">
        <f>400000/26*14</f>
        <v>215384.61538461538</v>
      </c>
      <c r="T65" s="32">
        <f t="shared" ca="1" si="25"/>
        <v>3106850.961538462</v>
      </c>
      <c r="U65" s="33"/>
      <c r="V65" s="31">
        <f ca="1">SUMIF($B$7:$B$136,'ขาด-ลา-มาสาย'!B66,'ขาด-ลา-มาสาย'!$K$8:$K$100)</f>
        <v>10000</v>
      </c>
      <c r="W65" s="31">
        <f ca="1">SUMIF($B$7:$B$136,'ขาด-ลา-มาสาย'!B66,'ขาด-ลา-มาสาย'!$N$8:$N$100)</f>
        <v>0</v>
      </c>
      <c r="X65" s="31">
        <f ca="1">SUMIF($B$7:$B$136,'ขาด-ลา-มาสาย'!B66,'ขาด-ลา-มาสาย'!$Q$8:$Q$100)</f>
        <v>0</v>
      </c>
      <c r="Y65" s="31">
        <f ca="1">SUMIF($B$7:$B$136,'ขาด-ลา-มาสาย'!B66,'ขาด-ลา-มาสาย'!$T$8:$T$100)</f>
        <v>480769.23076923075</v>
      </c>
      <c r="Z65" s="31">
        <f ca="1">SUMIF($B$7:$B$136,'ขาด-ลา-มาสาย'!B66,'ขาด-ลา-มาสาย'!$W$8:$W$100)</f>
        <v>576923.07692307699</v>
      </c>
      <c r="AA65" s="32">
        <f t="shared" ca="1" si="26"/>
        <v>1067692.3076923077</v>
      </c>
      <c r="AB65" s="33">
        <f t="shared" ca="1" si="27"/>
        <v>2039158.6538461542</v>
      </c>
      <c r="AC65" s="31">
        <f t="shared" ca="1" si="31"/>
        <v>1839158.6538461542</v>
      </c>
      <c r="AD65" s="31">
        <f t="shared" ca="1" si="28"/>
        <v>91957.932692307717</v>
      </c>
      <c r="AE65" s="32">
        <f t="shared" ca="1" si="29"/>
        <v>1947200.7211538465</v>
      </c>
      <c r="AF65" s="32"/>
      <c r="AG65" s="32">
        <f t="shared" ca="1" si="30"/>
        <v>1947200.7211538465</v>
      </c>
      <c r="AH65" s="31" t="s">
        <v>49</v>
      </c>
      <c r="AI65" s="34">
        <f t="shared" ca="1" si="32"/>
        <v>2863.5304722850683</v>
      </c>
      <c r="AJ65" s="35"/>
      <c r="AK65" s="36" t="s">
        <v>20</v>
      </c>
      <c r="AL65" s="37">
        <f t="shared" si="33"/>
        <v>2500000</v>
      </c>
      <c r="AM65" s="38">
        <f t="shared" ca="1" si="34"/>
        <v>1067692.3076923077</v>
      </c>
      <c r="AN65" s="38">
        <f t="shared" ca="1" si="35"/>
        <v>1432307.6923076923</v>
      </c>
      <c r="AO65" s="38">
        <f t="shared" ca="1" si="36"/>
        <v>606850.9615384615</v>
      </c>
      <c r="AP65" s="39">
        <f t="shared" ca="1" si="37"/>
        <v>1947200.7211538465</v>
      </c>
    </row>
    <row r="66" spans="1:42" s="40" customFormat="1">
      <c r="A66" s="25">
        <v>60</v>
      </c>
      <c r="B66" s="26" t="s">
        <v>198</v>
      </c>
      <c r="C66" s="26" t="s">
        <v>199</v>
      </c>
      <c r="D66" s="27">
        <v>2098774705</v>
      </c>
      <c r="E66" s="26" t="s">
        <v>200</v>
      </c>
      <c r="F66" s="28" t="s">
        <v>27</v>
      </c>
      <c r="G66" s="29">
        <v>26</v>
      </c>
      <c r="H66" s="31">
        <v>3300000</v>
      </c>
      <c r="I66" s="31">
        <f ca="1">SUMIF($B$7:$B$175,OT!B67,OT!$S$8:$S$160)</f>
        <v>118990.38461538461</v>
      </c>
      <c r="J66" s="30">
        <f ca="1">SUMIF($B$7:$B$136,เงินกะ!B67,เงินกะ!$M$8:$M$100)</f>
        <v>91225.961538461546</v>
      </c>
      <c r="K66" s="31">
        <f>H66*15%</f>
        <v>495000</v>
      </c>
      <c r="L66" s="31">
        <v>200000</v>
      </c>
      <c r="M66" s="31"/>
      <c r="N66" s="31">
        <v>250000</v>
      </c>
      <c r="O66" s="31">
        <v>150000</v>
      </c>
      <c r="P66" s="31">
        <v>150000</v>
      </c>
      <c r="Q66" s="31">
        <v>200000</v>
      </c>
      <c r="R66" s="31">
        <v>1700000</v>
      </c>
      <c r="S66" s="31">
        <f>400000/26*25</f>
        <v>384615.38461538462</v>
      </c>
      <c r="T66" s="32">
        <f t="shared" ca="1" si="25"/>
        <v>7039831.730769231</v>
      </c>
      <c r="U66" s="33">
        <v>88000</v>
      </c>
      <c r="V66" s="31">
        <f ca="1">SUMIF($B$7:$B$136,'ขาด-ลา-มาสาย'!B67,'ขาด-ลา-มาสาย'!$K$8:$K$100)</f>
        <v>0</v>
      </c>
      <c r="W66" s="31">
        <f ca="1">SUMIF($B$7:$B$136,'ขาด-ลา-มาสาย'!B67,'ขาด-ลา-มาสาย'!$N$8:$N$100)</f>
        <v>0</v>
      </c>
      <c r="X66" s="31">
        <f ca="1">SUMIF($B$7:$B$136,'ขาด-ลา-มาสาย'!B67,'ขาด-ลา-มาสาย'!$Q$8:$Q$100)</f>
        <v>0</v>
      </c>
      <c r="Y66" s="31">
        <f ca="1">SUMIF($B$7:$B$136,'ขาด-ลา-มาสาย'!B67,'ขาด-ลา-มาสาย'!$T$8:$T$100)</f>
        <v>0</v>
      </c>
      <c r="Z66" s="31">
        <f ca="1">SUMIF($B$7:$B$136,'ขาด-ลา-มาสาย'!B67,'ขาด-ลา-มาสาย'!$W$8:$W$100)</f>
        <v>0</v>
      </c>
      <c r="AA66" s="32">
        <f t="shared" ca="1" si="26"/>
        <v>88000</v>
      </c>
      <c r="AB66" s="33">
        <f t="shared" ca="1" si="27"/>
        <v>6951831.730769231</v>
      </c>
      <c r="AC66" s="31">
        <f t="shared" ca="1" si="31"/>
        <v>6751831.730769231</v>
      </c>
      <c r="AD66" s="31">
        <f t="shared" ca="1" si="28"/>
        <v>337591.58653846156</v>
      </c>
      <c r="AE66" s="32">
        <f t="shared" ca="1" si="29"/>
        <v>6614240.144230769</v>
      </c>
      <c r="AF66" s="32"/>
      <c r="AG66" s="32">
        <f t="shared" ca="1" si="30"/>
        <v>6614240.144230769</v>
      </c>
      <c r="AH66" s="31" t="s">
        <v>49</v>
      </c>
      <c r="AI66" s="34">
        <f t="shared" ca="1" si="32"/>
        <v>9726.8237415158364</v>
      </c>
      <c r="AJ66" s="35"/>
      <c r="AK66" s="36" t="s">
        <v>201</v>
      </c>
      <c r="AL66" s="37">
        <f t="shared" si="33"/>
        <v>3300000</v>
      </c>
      <c r="AM66" s="38">
        <f t="shared" ca="1" si="34"/>
        <v>88000</v>
      </c>
      <c r="AN66" s="38">
        <f t="shared" ca="1" si="35"/>
        <v>3212000</v>
      </c>
      <c r="AO66" s="38">
        <f t="shared" ca="1" si="36"/>
        <v>3739831.7307692305</v>
      </c>
      <c r="AP66" s="39">
        <f t="shared" ca="1" si="37"/>
        <v>6614240.144230769</v>
      </c>
    </row>
    <row r="67" spans="1:42" s="40" customFormat="1">
      <c r="A67" s="25">
        <v>61</v>
      </c>
      <c r="B67" s="26" t="s">
        <v>202</v>
      </c>
      <c r="C67" s="26" t="s">
        <v>203</v>
      </c>
      <c r="D67" s="27">
        <v>2091940060</v>
      </c>
      <c r="E67" s="26" t="s">
        <v>200</v>
      </c>
      <c r="F67" s="28" t="s">
        <v>27</v>
      </c>
      <c r="G67" s="29">
        <v>26</v>
      </c>
      <c r="H67" s="31">
        <v>2685000</v>
      </c>
      <c r="I67" s="31">
        <f ca="1">SUMIF($B$7:$B$175,OT!B68,OT!$S$8:$S$160)</f>
        <v>96814.903846153844</v>
      </c>
      <c r="J67" s="30">
        <f ca="1">SUMIF($B$7:$B$136,เงินกะ!B68,เงินกะ!$M$8:$M$100)</f>
        <v>74224.75961538461</v>
      </c>
      <c r="K67" s="31">
        <f>H67*15%</f>
        <v>402750</v>
      </c>
      <c r="L67" s="31">
        <v>200000</v>
      </c>
      <c r="M67" s="31"/>
      <c r="N67" s="31">
        <v>250000</v>
      </c>
      <c r="O67" s="31">
        <v>150000</v>
      </c>
      <c r="P67" s="31">
        <v>150000</v>
      </c>
      <c r="Q67" s="31">
        <v>200000</v>
      </c>
      <c r="R67" s="31">
        <v>800000</v>
      </c>
      <c r="S67" s="31">
        <f>400000/26*24</f>
        <v>369230.76923076925</v>
      </c>
      <c r="T67" s="32">
        <f t="shared" ca="1" si="25"/>
        <v>5378020.432692307</v>
      </c>
      <c r="U67" s="33"/>
      <c r="V67" s="31">
        <f ca="1">SUMIF($B$7:$B$136,'ขาด-ลา-มาสาย'!B68,'ขาด-ลา-มาสาย'!$K$8:$K$100)</f>
        <v>0</v>
      </c>
      <c r="W67" s="31">
        <f ca="1">SUMIF($B$7:$B$136,'ขาด-ลา-มาสาย'!B68,'ขาด-ลา-มาสาย'!$N$8:$N$100)</f>
        <v>0</v>
      </c>
      <c r="X67" s="31">
        <f ca="1">SUMIF($B$7:$B$136,'ขาด-ลา-มาสาย'!B68,'ขาด-ลา-มาสาย'!$Q$8:$Q$100)</f>
        <v>0</v>
      </c>
      <c r="Y67" s="31">
        <f ca="1">SUMIF($B$7:$B$136,'ขาด-ลา-มาสาย'!B68,'ขาด-ลา-มาสาย'!$T$8:$T$100)</f>
        <v>0</v>
      </c>
      <c r="Z67" s="31">
        <f ca="1">SUMIF($B$7:$B$136,'ขาด-ลา-มาสาย'!B68,'ขาด-ลา-มาสาย'!$W$8:$W$100)</f>
        <v>0</v>
      </c>
      <c r="AA67" s="32">
        <f t="shared" ca="1" si="26"/>
        <v>0</v>
      </c>
      <c r="AB67" s="33">
        <f t="shared" ca="1" si="27"/>
        <v>5378020.432692307</v>
      </c>
      <c r="AC67" s="31">
        <f t="shared" ca="1" si="31"/>
        <v>5178020.432692307</v>
      </c>
      <c r="AD67" s="31">
        <f t="shared" ca="1" si="28"/>
        <v>258901.02163461538</v>
      </c>
      <c r="AE67" s="32">
        <f t="shared" ca="1" si="29"/>
        <v>5119119.411057692</v>
      </c>
      <c r="AF67" s="32"/>
      <c r="AG67" s="32">
        <f t="shared" ca="1" si="30"/>
        <v>5119119.411057692</v>
      </c>
      <c r="AH67" s="31" t="s">
        <v>49</v>
      </c>
      <c r="AI67" s="34">
        <f t="shared" ca="1" si="32"/>
        <v>7528.1167809671942</v>
      </c>
      <c r="AJ67" s="35"/>
      <c r="AK67" s="36" t="s">
        <v>204</v>
      </c>
      <c r="AL67" s="37">
        <f t="shared" si="33"/>
        <v>2685000</v>
      </c>
      <c r="AM67" s="38">
        <f t="shared" ca="1" si="34"/>
        <v>0</v>
      </c>
      <c r="AN67" s="38">
        <f t="shared" ca="1" si="35"/>
        <v>2685000</v>
      </c>
      <c r="AO67" s="38">
        <f t="shared" ca="1" si="36"/>
        <v>2693020.432692308</v>
      </c>
      <c r="AP67" s="39">
        <f t="shared" ca="1" si="37"/>
        <v>5119119.411057692</v>
      </c>
    </row>
    <row r="68" spans="1:42" s="40" customFormat="1">
      <c r="A68" s="25">
        <v>62</v>
      </c>
      <c r="B68" s="26" t="s">
        <v>205</v>
      </c>
      <c r="C68" s="26" t="s">
        <v>206</v>
      </c>
      <c r="D68" s="27">
        <v>2057025508</v>
      </c>
      <c r="E68" s="26" t="s">
        <v>200</v>
      </c>
      <c r="F68" s="28" t="s">
        <v>27</v>
      </c>
      <c r="G68" s="29">
        <v>26</v>
      </c>
      <c r="H68" s="31">
        <v>2702000</v>
      </c>
      <c r="I68" s="31">
        <f ca="1">SUMIF($B$7:$B$175,OT!B69,OT!$S$8:$S$160)</f>
        <v>97427.88461538461</v>
      </c>
      <c r="J68" s="30">
        <f ca="1">SUMIF($B$7:$B$136,เงินกะ!B69,เงินกะ!$M$8:$M$100)</f>
        <v>74694.711538461532</v>
      </c>
      <c r="K68" s="31">
        <f>H68*15%</f>
        <v>405300</v>
      </c>
      <c r="L68" s="31">
        <v>200000</v>
      </c>
      <c r="M68" s="31"/>
      <c r="N68" s="31">
        <v>250000</v>
      </c>
      <c r="O68" s="31">
        <v>150000</v>
      </c>
      <c r="P68" s="31">
        <v>150000</v>
      </c>
      <c r="Q68" s="31">
        <v>200000</v>
      </c>
      <c r="R68" s="31">
        <v>800000</v>
      </c>
      <c r="S68" s="31">
        <f>400000/26*25</f>
        <v>384615.38461538462</v>
      </c>
      <c r="T68" s="32">
        <f t="shared" ca="1" si="25"/>
        <v>5414037.980769231</v>
      </c>
      <c r="U68" s="33"/>
      <c r="V68" s="31">
        <f ca="1">SUMIF($B$7:$B$136,'ขาด-ลา-มาสาย'!B69,'ขาด-ลา-มาสาย'!$K$8:$K$100)</f>
        <v>0</v>
      </c>
      <c r="W68" s="31">
        <f ca="1">SUMIF($B$7:$B$136,'ขาด-ลา-มาสาย'!B69,'ขาด-ลา-มาสาย'!$N$8:$N$100)</f>
        <v>0</v>
      </c>
      <c r="X68" s="31">
        <f ca="1">SUMIF($B$7:$B$136,'ขาด-ลา-มาสาย'!B69,'ขาด-ลา-มาสาย'!$Q$8:$Q$100)</f>
        <v>0</v>
      </c>
      <c r="Y68" s="31">
        <f ca="1">SUMIF($B$7:$B$136,'ขาด-ลา-มาสาย'!B69,'ขาด-ลา-มาสาย'!$T$8:$T$100)</f>
        <v>0</v>
      </c>
      <c r="Z68" s="31">
        <f ca="1">SUMIF($B$7:$B$136,'ขาด-ลา-มาสาย'!B69,'ขาด-ลา-มาสาย'!$W$8:$W$100)</f>
        <v>0</v>
      </c>
      <c r="AA68" s="32">
        <f t="shared" ca="1" si="26"/>
        <v>0</v>
      </c>
      <c r="AB68" s="33">
        <f t="shared" ca="1" si="27"/>
        <v>5414037.980769231</v>
      </c>
      <c r="AC68" s="31">
        <f t="shared" ca="1" si="31"/>
        <v>5214037.980769231</v>
      </c>
      <c r="AD68" s="31">
        <f t="shared" ca="1" si="28"/>
        <v>260701.89903846156</v>
      </c>
      <c r="AE68" s="32">
        <f t="shared" ca="1" si="29"/>
        <v>5153336.081730769</v>
      </c>
      <c r="AF68" s="32"/>
      <c r="AG68" s="32">
        <f t="shared" ca="1" si="30"/>
        <v>5153336.081730769</v>
      </c>
      <c r="AH68" s="31" t="s">
        <v>49</v>
      </c>
      <c r="AI68" s="34">
        <f t="shared" ca="1" si="32"/>
        <v>7578.4354143099545</v>
      </c>
      <c r="AJ68" s="35"/>
      <c r="AK68" s="36" t="s">
        <v>207</v>
      </c>
      <c r="AL68" s="37">
        <f t="shared" si="33"/>
        <v>2702000</v>
      </c>
      <c r="AM68" s="38">
        <f t="shared" ca="1" si="34"/>
        <v>0</v>
      </c>
      <c r="AN68" s="38">
        <f t="shared" ca="1" si="35"/>
        <v>2702000</v>
      </c>
      <c r="AO68" s="38">
        <f t="shared" ca="1" si="36"/>
        <v>2712037.9807692305</v>
      </c>
      <c r="AP68" s="39">
        <f t="shared" ca="1" si="37"/>
        <v>5153336.081730769</v>
      </c>
    </row>
    <row r="69" spans="1:42" s="40" customFormat="1">
      <c r="A69" s="25">
        <v>63</v>
      </c>
      <c r="B69" s="26" t="s">
        <v>208</v>
      </c>
      <c r="C69" s="26" t="s">
        <v>209</v>
      </c>
      <c r="D69" s="27">
        <v>2096593001</v>
      </c>
      <c r="E69" s="26" t="s">
        <v>200</v>
      </c>
      <c r="F69" s="28" t="s">
        <v>27</v>
      </c>
      <c r="G69" s="29">
        <v>26</v>
      </c>
      <c r="H69" s="31">
        <v>2600000</v>
      </c>
      <c r="I69" s="31">
        <f ca="1">SUMIF($B$7:$B$175,OT!B70,OT!$S$8:$S$160)</f>
        <v>93750</v>
      </c>
      <c r="J69" s="30">
        <f ca="1">SUMIF($B$7:$B$136,เงินกะ!B70,เงินกะ!$M$8:$M$100)</f>
        <v>86250</v>
      </c>
      <c r="K69" s="31"/>
      <c r="L69" s="31">
        <v>200000</v>
      </c>
      <c r="M69" s="31"/>
      <c r="N69" s="31">
        <v>250000</v>
      </c>
      <c r="O69" s="31">
        <v>150000</v>
      </c>
      <c r="P69" s="31">
        <v>150000</v>
      </c>
      <c r="Q69" s="31">
        <v>200000</v>
      </c>
      <c r="R69" s="31">
        <v>350000</v>
      </c>
      <c r="S69" s="31">
        <f>400000/26*25</f>
        <v>384615.38461538462</v>
      </c>
      <c r="T69" s="32">
        <f t="shared" ca="1" si="25"/>
        <v>4464615.384615385</v>
      </c>
      <c r="U69" s="33">
        <v>88000</v>
      </c>
      <c r="V69" s="31">
        <f ca="1">SUMIF($B$7:$B$136,'ขาด-ลา-มาสาย'!B70,'ขาด-ลา-มาสาย'!$K$8:$K$100)</f>
        <v>0</v>
      </c>
      <c r="W69" s="31">
        <f ca="1">SUMIF($B$7:$B$136,'ขาด-ลา-มาสาย'!B70,'ขาด-ลา-มาสาย'!$N$8:$N$100)</f>
        <v>0</v>
      </c>
      <c r="X69" s="31">
        <f ca="1">SUMIF($B$7:$B$136,'ขาด-ลา-มาสาย'!B70,'ขาด-ลา-มาสาย'!$Q$8:$Q$100)</f>
        <v>0</v>
      </c>
      <c r="Y69" s="31">
        <f ca="1">SUMIF($B$7:$B$136,'ขาด-ลา-มาสาย'!B70,'ขาด-ลา-มาสาย'!$T$8:$T$100)</f>
        <v>0</v>
      </c>
      <c r="Z69" s="31">
        <f ca="1">SUMIF($B$7:$B$136,'ขาด-ลา-มาสาย'!B70,'ขาด-ลา-มาสาย'!$W$8:$W$100)</f>
        <v>0</v>
      </c>
      <c r="AA69" s="32">
        <f t="shared" ca="1" si="26"/>
        <v>88000</v>
      </c>
      <c r="AB69" s="33">
        <f t="shared" ca="1" si="27"/>
        <v>4376615.384615385</v>
      </c>
      <c r="AC69" s="31">
        <f t="shared" ca="1" si="31"/>
        <v>4176615.384615385</v>
      </c>
      <c r="AD69" s="31">
        <f t="shared" ca="1" si="28"/>
        <v>208830.76923076925</v>
      </c>
      <c r="AE69" s="32">
        <f t="shared" ca="1" si="29"/>
        <v>4167784.615384616</v>
      </c>
      <c r="AF69" s="32"/>
      <c r="AG69" s="32">
        <f t="shared" ca="1" si="30"/>
        <v>4167784.615384616</v>
      </c>
      <c r="AH69" s="31" t="s">
        <v>49</v>
      </c>
      <c r="AI69" s="34">
        <f t="shared" ca="1" si="32"/>
        <v>6129.0950226244349</v>
      </c>
      <c r="AJ69" s="35"/>
      <c r="AK69" s="36" t="s">
        <v>210</v>
      </c>
      <c r="AL69" s="37">
        <f t="shared" si="33"/>
        <v>2600000</v>
      </c>
      <c r="AM69" s="38">
        <f t="shared" ca="1" si="34"/>
        <v>88000</v>
      </c>
      <c r="AN69" s="38">
        <f t="shared" ca="1" si="35"/>
        <v>2512000</v>
      </c>
      <c r="AO69" s="38">
        <f t="shared" ca="1" si="36"/>
        <v>1864615.3846153845</v>
      </c>
      <c r="AP69" s="39">
        <f t="shared" ca="1" si="37"/>
        <v>4167784.615384616</v>
      </c>
    </row>
    <row r="70" spans="1:42" s="40" customFormat="1">
      <c r="A70" s="25">
        <v>64</v>
      </c>
      <c r="B70" s="26" t="s">
        <v>211</v>
      </c>
      <c r="C70" s="26" t="s">
        <v>212</v>
      </c>
      <c r="D70" s="27">
        <v>2077522028</v>
      </c>
      <c r="E70" s="26" t="s">
        <v>200</v>
      </c>
      <c r="F70" s="28" t="s">
        <v>27</v>
      </c>
      <c r="G70" s="29">
        <v>26</v>
      </c>
      <c r="H70" s="31">
        <v>2600000</v>
      </c>
      <c r="I70" s="31">
        <f ca="1">SUMIF($B$7:$B$175,OT!B71,OT!$S$8:$S$160)</f>
        <v>93750</v>
      </c>
      <c r="J70" s="30">
        <f ca="1">SUMIF($B$7:$B$136,เงินกะ!B71,เงินกะ!$M$8:$M$100)</f>
        <v>86250</v>
      </c>
      <c r="K70" s="31"/>
      <c r="L70" s="31">
        <v>200000</v>
      </c>
      <c r="M70" s="31"/>
      <c r="N70" s="31">
        <v>250000</v>
      </c>
      <c r="O70" s="31">
        <v>150000</v>
      </c>
      <c r="P70" s="31">
        <v>150000</v>
      </c>
      <c r="Q70" s="31">
        <v>200000</v>
      </c>
      <c r="R70" s="31">
        <v>350000</v>
      </c>
      <c r="S70" s="31">
        <v>400000</v>
      </c>
      <c r="T70" s="32">
        <f t="shared" ca="1" si="25"/>
        <v>4480000</v>
      </c>
      <c r="U70" s="33"/>
      <c r="V70" s="31">
        <f ca="1">SUMIF($B$7:$B$136,'ขาด-ลา-มาสาย'!B71,'ขาด-ลา-มาสาย'!$K$8:$K$100)</f>
        <v>0</v>
      </c>
      <c r="W70" s="31">
        <f ca="1">SUMIF($B$7:$B$136,'ขาด-ลา-มาสาย'!B71,'ขาด-ลา-มาสาย'!$N$8:$N$100)</f>
        <v>0</v>
      </c>
      <c r="X70" s="31">
        <f ca="1">SUMIF($B$7:$B$136,'ขาด-ลา-มาสาย'!B71,'ขาด-ลา-มาสาย'!$Q$8:$Q$100)</f>
        <v>0</v>
      </c>
      <c r="Y70" s="31">
        <f ca="1">SUMIF($B$7:$B$136,'ขาด-ลา-มาสาย'!B71,'ขาด-ลา-มาสาย'!$T$8:$T$100)</f>
        <v>0</v>
      </c>
      <c r="Z70" s="31">
        <f ca="1">SUMIF($B$7:$B$136,'ขาด-ลา-มาสาย'!B71,'ขาด-ลา-มาสาย'!$W$8:$W$100)</f>
        <v>0</v>
      </c>
      <c r="AA70" s="32">
        <f t="shared" ca="1" si="26"/>
        <v>0</v>
      </c>
      <c r="AB70" s="33">
        <f t="shared" ca="1" si="27"/>
        <v>4480000</v>
      </c>
      <c r="AC70" s="31">
        <f t="shared" ca="1" si="31"/>
        <v>4280000</v>
      </c>
      <c r="AD70" s="31">
        <f t="shared" ca="1" si="28"/>
        <v>214000</v>
      </c>
      <c r="AE70" s="32">
        <f t="shared" ca="1" si="29"/>
        <v>4266000</v>
      </c>
      <c r="AF70" s="32"/>
      <c r="AG70" s="32">
        <f t="shared" ca="1" si="30"/>
        <v>4266000</v>
      </c>
      <c r="AH70" s="31" t="s">
        <v>49</v>
      </c>
      <c r="AI70" s="34">
        <f t="shared" ca="1" si="32"/>
        <v>6273.5294117647063</v>
      </c>
      <c r="AJ70" s="35"/>
      <c r="AK70" s="36" t="s">
        <v>20</v>
      </c>
      <c r="AL70" s="37">
        <f t="shared" si="33"/>
        <v>2600000</v>
      </c>
      <c r="AM70" s="38">
        <f t="shared" ca="1" si="34"/>
        <v>0</v>
      </c>
      <c r="AN70" s="38">
        <f t="shared" ca="1" si="35"/>
        <v>2600000</v>
      </c>
      <c r="AO70" s="38">
        <f t="shared" ca="1" si="36"/>
        <v>1880000</v>
      </c>
      <c r="AP70" s="39">
        <f t="shared" ca="1" si="37"/>
        <v>4266000</v>
      </c>
    </row>
    <row r="71" spans="1:42" s="40" customFormat="1" ht="14.4">
      <c r="A71" s="25">
        <v>65</v>
      </c>
      <c r="B71" s="26" t="s">
        <v>213</v>
      </c>
      <c r="C71" s="26" t="s">
        <v>214</v>
      </c>
      <c r="D71" s="27">
        <v>2094049929</v>
      </c>
      <c r="E71" s="26" t="s">
        <v>200</v>
      </c>
      <c r="F71" s="28" t="s">
        <v>27</v>
      </c>
      <c r="G71" s="29">
        <v>26</v>
      </c>
      <c r="H71" s="31">
        <v>2500000</v>
      </c>
      <c r="I71" s="31">
        <f ca="1">SUMIF($B$7:$B$175,OT!B72,OT!$S$8:$S$160)</f>
        <v>0</v>
      </c>
      <c r="J71" s="30">
        <f ca="1">SUMIF($B$7:$B$136,เงินกะ!B72,เงินกะ!$M$8:$M$100)</f>
        <v>69110.576923076922</v>
      </c>
      <c r="K71" s="31">
        <f>H71*15%/26*21</f>
        <v>302884.61538461538</v>
      </c>
      <c r="L71" s="31">
        <v>200000</v>
      </c>
      <c r="M71" s="31"/>
      <c r="N71" s="43"/>
      <c r="O71" s="31">
        <v>150000</v>
      </c>
      <c r="P71" s="31">
        <v>150000</v>
      </c>
      <c r="Q71" s="31">
        <v>200000</v>
      </c>
      <c r="R71" s="31">
        <v>350000</v>
      </c>
      <c r="S71" s="31">
        <f>400000/26*21</f>
        <v>323076.92307692306</v>
      </c>
      <c r="T71" s="32">
        <f t="shared" ref="T71:T79" ca="1" si="38">SUM(H71:S71)</f>
        <v>4245072.115384616</v>
      </c>
      <c r="U71" s="33"/>
      <c r="V71" s="31">
        <f ca="1">SUMIF($B$7:$B$136,'ขาด-ลา-มาสาย'!B72,'ขาด-ลา-มาสาย'!$K$8:$K$100)</f>
        <v>20000</v>
      </c>
      <c r="W71" s="31">
        <f ca="1">SUMIF($B$7:$B$136,'ขาด-ลา-มาสาย'!B72,'ขาด-ลา-มาสาย'!$N$8:$N$100)</f>
        <v>0</v>
      </c>
      <c r="X71" s="31">
        <f ca="1">SUMIF($B$7:$B$136,'ขาด-ลา-มาสาย'!B72,'ขาด-ลา-มาสาย'!$Q$8:$Q$100)</f>
        <v>0</v>
      </c>
      <c r="Y71" s="31">
        <f ca="1">SUMIF($B$7:$B$136,'ขาด-ลา-มาสาย'!B72,'ขาด-ลา-มาสาย'!$T$8:$T$100)</f>
        <v>480769.23076923075</v>
      </c>
      <c r="Z71" s="31">
        <f ca="1">SUMIF($B$7:$B$136,'ขาด-ลา-มาสาย'!B72,'ขาด-ลา-มาสาย'!$W$8:$W$100)</f>
        <v>0</v>
      </c>
      <c r="AA71" s="32">
        <f t="shared" ref="AA71:AA97" ca="1" si="39">SUM(U71:Z71)</f>
        <v>500769.23076923075</v>
      </c>
      <c r="AB71" s="33">
        <f t="shared" ref="AB71:AB97" ca="1" si="40">T71-AA71</f>
        <v>3744302.884615385</v>
      </c>
      <c r="AC71" s="31">
        <f t="shared" ca="1" si="31"/>
        <v>3544302.884615385</v>
      </c>
      <c r="AD71" s="31">
        <f t="shared" ref="AD71:AD97" ca="1" si="41">AC71*5%</f>
        <v>177215.14423076925</v>
      </c>
      <c r="AE71" s="32">
        <f t="shared" ref="AE71:AE97" ca="1" si="42">AB71-AD71</f>
        <v>3567087.740384616</v>
      </c>
      <c r="AF71" s="32"/>
      <c r="AG71" s="32">
        <f t="shared" ref="AG71:AG97" ca="1" si="43">AE71-AF71</f>
        <v>3567087.740384616</v>
      </c>
      <c r="AH71" s="31" t="s">
        <v>49</v>
      </c>
      <c r="AI71" s="34">
        <f t="shared" ca="1" si="32"/>
        <v>5245.7172652714944</v>
      </c>
      <c r="AJ71" s="35"/>
      <c r="AK71" s="36" t="s">
        <v>20</v>
      </c>
      <c r="AL71" s="37">
        <f t="shared" si="33"/>
        <v>2500000</v>
      </c>
      <c r="AM71" s="38">
        <f t="shared" ca="1" si="34"/>
        <v>500769.23076923075</v>
      </c>
      <c r="AN71" s="38">
        <f t="shared" ca="1" si="35"/>
        <v>1999230.7692307692</v>
      </c>
      <c r="AO71" s="38">
        <f t="shared" ca="1" si="36"/>
        <v>1745072.1153846153</v>
      </c>
      <c r="AP71" s="39">
        <f t="shared" ca="1" si="37"/>
        <v>3567087.740384616</v>
      </c>
    </row>
    <row r="72" spans="1:42" s="40" customFormat="1">
      <c r="A72" s="25">
        <v>66</v>
      </c>
      <c r="B72" s="26" t="s">
        <v>215</v>
      </c>
      <c r="C72" s="26" t="s">
        <v>216</v>
      </c>
      <c r="D72" s="27">
        <v>2092862090</v>
      </c>
      <c r="E72" s="26" t="s">
        <v>200</v>
      </c>
      <c r="F72" s="28" t="s">
        <v>27</v>
      </c>
      <c r="G72" s="29">
        <v>26</v>
      </c>
      <c r="H72" s="31">
        <v>2500000</v>
      </c>
      <c r="I72" s="31">
        <f ca="1">SUMIF($B$7:$B$175,OT!B73,OT!$S$8:$S$160)</f>
        <v>0</v>
      </c>
      <c r="J72" s="30">
        <f ca="1">SUMIF($B$7:$B$136,เงินกะ!B73,เงินกะ!$M$8:$M$100)</f>
        <v>27644.23076923077</v>
      </c>
      <c r="K72" s="31">
        <f>H72*15%/26*10</f>
        <v>144230.76923076925</v>
      </c>
      <c r="L72" s="31"/>
      <c r="M72" s="31"/>
      <c r="N72" s="31"/>
      <c r="O72" s="31">
        <f>150000/26*10</f>
        <v>57692.307692307695</v>
      </c>
      <c r="P72" s="31">
        <f>150000/26*10</f>
        <v>57692.307692307695</v>
      </c>
      <c r="Q72" s="31">
        <f>200000/26*10</f>
        <v>76923.076923076922</v>
      </c>
      <c r="R72" s="31">
        <f>350000/26*10</f>
        <v>134615.38461538462</v>
      </c>
      <c r="S72" s="31">
        <f>400000/26*10</f>
        <v>153846.15384615384</v>
      </c>
      <c r="T72" s="32">
        <f t="shared" ca="1" si="38"/>
        <v>3152644.2307692305</v>
      </c>
      <c r="U72" s="33"/>
      <c r="V72" s="31">
        <f ca="1">SUMIF($B$7:$B$136,'ขาด-ลา-มาสาย'!B73,'ขาด-ลา-มาสาย'!$K$8:$K$100)</f>
        <v>10000</v>
      </c>
      <c r="W72" s="31">
        <f ca="1">SUMIF($B$7:$B$136,'ขาด-ลา-มาสาย'!B73,'ขาด-ลา-มาสาย'!$N$8:$N$100)</f>
        <v>0</v>
      </c>
      <c r="X72" s="31">
        <f ca="1">SUMIF($B$7:$B$136,'ขาด-ลา-มาสาย'!B73,'ขาด-ลา-มาสาย'!$Q$8:$Q$100)</f>
        <v>0</v>
      </c>
      <c r="Y72" s="31">
        <f ca="1">SUMIF($B$7:$B$136,'ขาด-ลา-มาสาย'!B73,'ขาด-ลา-มาสาย'!$T$8:$T$100)</f>
        <v>192307.69230769231</v>
      </c>
      <c r="Z72" s="31">
        <f ca="1">SUMIF($B$7:$B$136,'ขาด-ลา-มาสาย'!B73,'ขาด-ลา-มาสาย'!$W$8:$W$100)</f>
        <v>1346153.8461538462</v>
      </c>
      <c r="AA72" s="32">
        <f t="shared" ca="1" si="39"/>
        <v>1548461.5384615385</v>
      </c>
      <c r="AB72" s="33">
        <f t="shared" ca="1" si="40"/>
        <v>1604182.692307692</v>
      </c>
      <c r="AC72" s="31">
        <f t="shared" ca="1" si="31"/>
        <v>1404182.692307692</v>
      </c>
      <c r="AD72" s="31">
        <f t="shared" ca="1" si="41"/>
        <v>70209.13461538461</v>
      </c>
      <c r="AE72" s="32">
        <f t="shared" ca="1" si="42"/>
        <v>1533973.5576923075</v>
      </c>
      <c r="AF72" s="32"/>
      <c r="AG72" s="32">
        <f t="shared" ca="1" si="43"/>
        <v>1533973.5576923075</v>
      </c>
      <c r="AH72" s="31"/>
      <c r="AI72" s="34"/>
      <c r="AJ72" s="35"/>
      <c r="AK72" s="36"/>
      <c r="AL72" s="37"/>
      <c r="AM72" s="38"/>
      <c r="AN72" s="38"/>
      <c r="AO72" s="38"/>
      <c r="AP72" s="39"/>
    </row>
    <row r="73" spans="1:42" s="40" customFormat="1">
      <c r="A73" s="25">
        <v>67</v>
      </c>
      <c r="B73" s="26" t="s">
        <v>217</v>
      </c>
      <c r="C73" s="26" t="s">
        <v>218</v>
      </c>
      <c r="D73" s="27">
        <v>2092797378</v>
      </c>
      <c r="E73" s="26" t="s">
        <v>219</v>
      </c>
      <c r="F73" s="28" t="s">
        <v>27</v>
      </c>
      <c r="G73" s="29">
        <v>26</v>
      </c>
      <c r="H73" s="31">
        <v>2600000</v>
      </c>
      <c r="I73" s="31">
        <f ca="1">SUMIF($B$7:$B$175,OT!B74,OT!$S$8:$S$160)</f>
        <v>0</v>
      </c>
      <c r="J73" s="30">
        <f ca="1">SUMIF($B$7:$B$136,เงินกะ!B74,เงินกะ!$M$8:$M$100)</f>
        <v>71875</v>
      </c>
      <c r="K73" s="31">
        <v>300000</v>
      </c>
      <c r="L73" s="31">
        <v>200000</v>
      </c>
      <c r="M73" s="31"/>
      <c r="N73" s="31">
        <v>250000</v>
      </c>
      <c r="O73" s="31">
        <v>150000</v>
      </c>
      <c r="P73" s="31">
        <v>150000</v>
      </c>
      <c r="Q73" s="31">
        <v>200000</v>
      </c>
      <c r="R73" s="31">
        <f>400000/26*25</f>
        <v>384615.38461538462</v>
      </c>
      <c r="S73" s="31">
        <f>400000/26*25</f>
        <v>384615.38461538462</v>
      </c>
      <c r="T73" s="32">
        <f t="shared" ca="1" si="38"/>
        <v>4691105.7692307699</v>
      </c>
      <c r="U73" s="33"/>
      <c r="V73" s="31">
        <f ca="1">SUMIF($B$7:$B$136,'ขาด-ลา-มาสาย'!B74,'ขาด-ลา-มาสาย'!$K$8:$K$100)</f>
        <v>0</v>
      </c>
      <c r="W73" s="31">
        <f ca="1">SUMIF($B$7:$B$136,'ขาด-ลา-มาสาย'!B74,'ขาด-ลา-มาสาย'!$N$8:$N$100)</f>
        <v>0</v>
      </c>
      <c r="X73" s="31">
        <f ca="1">SUMIF($B$7:$B$136,'ขาด-ลา-มาสาย'!B74,'ขาด-ลา-มาสาย'!$Q$8:$Q$100)</f>
        <v>0</v>
      </c>
      <c r="Y73" s="31">
        <f ca="1">SUMIF($B$7:$B$136,'ขาด-ลา-มาสาย'!B74,'ขาด-ลา-มาสาย'!$T$8:$T$100)</f>
        <v>0</v>
      </c>
      <c r="Z73" s="31">
        <f ca="1">SUMIF($B$7:$B$136,'ขาด-ลา-มาสาย'!B74,'ขาด-ลา-มาสาย'!$W$8:$W$100)</f>
        <v>0</v>
      </c>
      <c r="AA73" s="32">
        <f t="shared" ca="1" si="39"/>
        <v>0</v>
      </c>
      <c r="AB73" s="33">
        <f t="shared" ca="1" si="40"/>
        <v>4691105.7692307699</v>
      </c>
      <c r="AC73" s="31">
        <f t="shared" ref="AC73:AC79" ca="1" si="44">AB73-200000</f>
        <v>4491105.7692307699</v>
      </c>
      <c r="AD73" s="31">
        <f t="shared" ca="1" si="41"/>
        <v>224555.2884615385</v>
      </c>
      <c r="AE73" s="32">
        <f t="shared" ca="1" si="42"/>
        <v>4466550.4807692319</v>
      </c>
      <c r="AF73" s="32"/>
      <c r="AG73" s="32">
        <f t="shared" ca="1" si="43"/>
        <v>4466550.4807692319</v>
      </c>
      <c r="AH73" s="31" t="s">
        <v>49</v>
      </c>
      <c r="AI73" s="34">
        <f t="shared" ref="AI73:AI79" ca="1" si="45">AE73/680</f>
        <v>6568.4565893665176</v>
      </c>
      <c r="AJ73" s="35"/>
      <c r="AK73" s="36" t="s">
        <v>220</v>
      </c>
      <c r="AL73" s="37">
        <f t="shared" ref="AL73:AL78" si="46">H73</f>
        <v>2600000</v>
      </c>
      <c r="AM73" s="38">
        <f t="shared" ref="AM73:AM78" ca="1" si="47">AA73</f>
        <v>0</v>
      </c>
      <c r="AN73" s="38">
        <f t="shared" ref="AN73:AN78" ca="1" si="48">AL73-AM73</f>
        <v>2600000</v>
      </c>
      <c r="AO73" s="38">
        <f t="shared" ref="AO73:AO78" ca="1" si="49">SUM(I73:S73)</f>
        <v>2091105.769230769</v>
      </c>
      <c r="AP73" s="39">
        <f t="shared" ref="AP73:AP78" ca="1" si="50">AE73</f>
        <v>4466550.4807692319</v>
      </c>
    </row>
    <row r="74" spans="1:42" s="40" customFormat="1">
      <c r="A74" s="25">
        <v>68</v>
      </c>
      <c r="B74" s="26" t="s">
        <v>221</v>
      </c>
      <c r="C74" s="45" t="s">
        <v>222</v>
      </c>
      <c r="D74" s="27">
        <v>2094335180</v>
      </c>
      <c r="E74" s="26" t="s">
        <v>219</v>
      </c>
      <c r="F74" s="28" t="s">
        <v>27</v>
      </c>
      <c r="G74" s="29">
        <v>26</v>
      </c>
      <c r="H74" s="31">
        <v>2500000</v>
      </c>
      <c r="I74" s="31">
        <f ca="1">SUMIF($B$7:$B$175,OT!B75,OT!$S$8:$S$160)</f>
        <v>0</v>
      </c>
      <c r="J74" s="30">
        <f ca="1">SUMIF($B$7:$B$136,เงินกะ!B75,เงินกะ!$M$8:$M$100)</f>
        <v>13822.115384615385</v>
      </c>
      <c r="K74" s="31">
        <f>300000/26*9</f>
        <v>103846.15384615384</v>
      </c>
      <c r="L74" s="46"/>
      <c r="M74" s="31"/>
      <c r="N74" s="46"/>
      <c r="O74" s="31">
        <f>150000/26*9</f>
        <v>51923.076923076922</v>
      </c>
      <c r="P74" s="31">
        <f>150000/26*9</f>
        <v>51923.076923076922</v>
      </c>
      <c r="Q74" s="46"/>
      <c r="R74" s="31">
        <f>400000/26*9</f>
        <v>138461.53846153847</v>
      </c>
      <c r="S74" s="31">
        <f>400000/26*9</f>
        <v>138461.53846153847</v>
      </c>
      <c r="T74" s="32">
        <f t="shared" ca="1" si="38"/>
        <v>2998437.5000000005</v>
      </c>
      <c r="U74" s="33"/>
      <c r="V74" s="31">
        <f ca="1">SUMIF($B$7:$B$136,'ขาด-ลา-มาสาย'!B75,'ขาด-ลา-มาสาย'!$K$8:$K$100)</f>
        <v>0</v>
      </c>
      <c r="W74" s="31">
        <f ca="1">SUMIF($B$7:$B$136,'ขาด-ลา-มาสาย'!B75,'ขาด-ลา-มาสาย'!$N$8:$N$100)</f>
        <v>0</v>
      </c>
      <c r="X74" s="31">
        <f ca="1">SUMIF($B$7:$B$136,'ขาด-ลา-มาสาย'!B75,'ขาด-ลา-มาสาย'!$Q$8:$Q$100)</f>
        <v>0</v>
      </c>
      <c r="Y74" s="31">
        <f ca="1">SUMIF($B$7:$B$136,'ขาด-ลา-มาสาย'!B75,'ขาด-ลา-มาสาย'!$T$8:$T$100)</f>
        <v>673076.92307692312</v>
      </c>
      <c r="Z74" s="31">
        <f ca="1">SUMIF($B$7:$B$136,'ขาด-ลา-มาสาย'!B75,'ขาด-ลา-มาสาย'!$W$8:$W$100)</f>
        <v>1153846.153846154</v>
      </c>
      <c r="AA74" s="32">
        <f t="shared" ca="1" si="39"/>
        <v>1826923.076923077</v>
      </c>
      <c r="AB74" s="33">
        <f t="shared" ca="1" si="40"/>
        <v>1171514.4230769235</v>
      </c>
      <c r="AC74" s="31">
        <f t="shared" ca="1" si="44"/>
        <v>971514.42307692347</v>
      </c>
      <c r="AD74" s="31">
        <f t="shared" ca="1" si="41"/>
        <v>48575.721153846178</v>
      </c>
      <c r="AE74" s="32">
        <f t="shared" ca="1" si="42"/>
        <v>1122938.7019230772</v>
      </c>
      <c r="AF74" s="32"/>
      <c r="AG74" s="32">
        <f t="shared" ca="1" si="43"/>
        <v>1122938.7019230772</v>
      </c>
      <c r="AH74" s="31" t="s">
        <v>49</v>
      </c>
      <c r="AI74" s="34">
        <f t="shared" ca="1" si="45"/>
        <v>1651.3804440045253</v>
      </c>
      <c r="AJ74" s="35"/>
      <c r="AK74" s="36" t="s">
        <v>20</v>
      </c>
      <c r="AL74" s="37">
        <f t="shared" si="46"/>
        <v>2500000</v>
      </c>
      <c r="AM74" s="38">
        <f t="shared" ca="1" si="47"/>
        <v>1826923.076923077</v>
      </c>
      <c r="AN74" s="38">
        <f t="shared" ca="1" si="48"/>
        <v>673076.92307692301</v>
      </c>
      <c r="AO74" s="38">
        <f t="shared" ca="1" si="49"/>
        <v>498437.5</v>
      </c>
      <c r="AP74" s="39">
        <f t="shared" ca="1" si="50"/>
        <v>1122938.7019230772</v>
      </c>
    </row>
    <row r="75" spans="1:42" s="40" customFormat="1">
      <c r="A75" s="25">
        <v>69</v>
      </c>
      <c r="B75" s="26" t="s">
        <v>223</v>
      </c>
      <c r="C75" s="26" t="s">
        <v>224</v>
      </c>
      <c r="D75" s="27">
        <v>2099955542</v>
      </c>
      <c r="E75" s="26" t="s">
        <v>219</v>
      </c>
      <c r="F75" s="28" t="s">
        <v>27</v>
      </c>
      <c r="G75" s="29">
        <v>26</v>
      </c>
      <c r="H75" s="31">
        <v>3500000</v>
      </c>
      <c r="I75" s="31">
        <f ca="1">SUMIF($B$7:$B$175,OT!B76,OT!$S$8:$S$160)</f>
        <v>0</v>
      </c>
      <c r="J75" s="30">
        <f ca="1">SUMIF($B$7:$B$136,เงินกะ!B76,เงินกะ!$M$8:$M$100)</f>
        <v>0</v>
      </c>
      <c r="K75" s="31"/>
      <c r="L75" s="31"/>
      <c r="M75" s="31"/>
      <c r="N75" s="31"/>
      <c r="O75" s="31"/>
      <c r="P75" s="31"/>
      <c r="Q75" s="31"/>
      <c r="R75" s="31"/>
      <c r="S75" s="31"/>
      <c r="T75" s="32">
        <f t="shared" ca="1" si="38"/>
        <v>3500000</v>
      </c>
      <c r="U75" s="33"/>
      <c r="V75" s="31">
        <f ca="1">SUMIF($B$7:$B$136,'ขาด-ลา-มาสาย'!B76,'ขาด-ลา-มาสาย'!$K$8:$K$100)</f>
        <v>0</v>
      </c>
      <c r="W75" s="31">
        <f ca="1">SUMIF($B$7:$B$136,'ขาด-ลา-มาสาย'!B76,'ขาด-ลา-มาสาย'!$N$8:$N$100)</f>
        <v>0</v>
      </c>
      <c r="X75" s="31">
        <f ca="1">SUMIF($B$7:$B$136,'ขาด-ลา-มาสาย'!B76,'ขาด-ลา-มาสาย'!$Q$8:$Q$100)</f>
        <v>0</v>
      </c>
      <c r="Y75" s="31">
        <f ca="1">SUMIF($B$7:$B$136,'ขาด-ลา-มาสาย'!B76,'ขาด-ลา-มาสาย'!$T$8:$T$100)</f>
        <v>0</v>
      </c>
      <c r="Z75" s="31">
        <f ca="1">SUMIF($B$7:$B$136,'ขาด-ลา-มาสาย'!B76,'ขาด-ลา-มาสาย'!$W$8:$W$100)</f>
        <v>0</v>
      </c>
      <c r="AA75" s="32">
        <f t="shared" ca="1" si="39"/>
        <v>0</v>
      </c>
      <c r="AB75" s="33">
        <f t="shared" ca="1" si="40"/>
        <v>3500000</v>
      </c>
      <c r="AC75" s="31">
        <f t="shared" ca="1" si="44"/>
        <v>3300000</v>
      </c>
      <c r="AD75" s="31">
        <f t="shared" ca="1" si="41"/>
        <v>165000</v>
      </c>
      <c r="AE75" s="32">
        <f t="shared" ca="1" si="42"/>
        <v>3335000</v>
      </c>
      <c r="AF75" s="32"/>
      <c r="AG75" s="32">
        <f t="shared" ca="1" si="43"/>
        <v>3335000</v>
      </c>
      <c r="AH75" s="31" t="s">
        <v>49</v>
      </c>
      <c r="AI75" s="34">
        <f t="shared" ca="1" si="45"/>
        <v>4904.411764705882</v>
      </c>
      <c r="AJ75" s="35"/>
      <c r="AK75" s="36" t="s">
        <v>20</v>
      </c>
      <c r="AL75" s="37">
        <f t="shared" si="46"/>
        <v>3500000</v>
      </c>
      <c r="AM75" s="38">
        <f t="shared" ca="1" si="47"/>
        <v>0</v>
      </c>
      <c r="AN75" s="38">
        <f t="shared" ca="1" si="48"/>
        <v>3500000</v>
      </c>
      <c r="AO75" s="38">
        <f t="shared" ca="1" si="49"/>
        <v>0</v>
      </c>
      <c r="AP75" s="39">
        <f t="shared" ca="1" si="50"/>
        <v>3335000</v>
      </c>
    </row>
    <row r="76" spans="1:42" s="40" customFormat="1">
      <c r="A76" s="25">
        <v>70</v>
      </c>
      <c r="B76" s="26" t="s">
        <v>225</v>
      </c>
      <c r="C76" s="26" t="s">
        <v>226</v>
      </c>
      <c r="D76" s="27">
        <v>2055302407</v>
      </c>
      <c r="E76" s="26" t="s">
        <v>219</v>
      </c>
      <c r="F76" s="28" t="s">
        <v>27</v>
      </c>
      <c r="G76" s="29">
        <v>26</v>
      </c>
      <c r="H76" s="31">
        <v>3500000</v>
      </c>
      <c r="I76" s="31">
        <f ca="1">SUMIF($B$7:$B$175,OT!B77,OT!$S$8:$S$160)</f>
        <v>0</v>
      </c>
      <c r="J76" s="30">
        <f ca="1">SUMIF($B$7:$B$136,เงินกะ!B77,เงินกะ!$M$8:$M$100)</f>
        <v>0</v>
      </c>
      <c r="K76" s="31"/>
      <c r="L76" s="31"/>
      <c r="M76" s="31"/>
      <c r="N76" s="31"/>
      <c r="O76" s="31"/>
      <c r="P76" s="31"/>
      <c r="Q76" s="31"/>
      <c r="R76" s="31"/>
      <c r="S76" s="31"/>
      <c r="T76" s="32">
        <f t="shared" ca="1" si="38"/>
        <v>3500000</v>
      </c>
      <c r="U76" s="33"/>
      <c r="V76" s="31">
        <f ca="1">SUMIF($B$7:$B$136,'ขาด-ลา-มาสาย'!B77,'ขาด-ลา-มาสาย'!$K$8:$K$100)</f>
        <v>0</v>
      </c>
      <c r="W76" s="31">
        <f ca="1">SUMIF($B$7:$B$136,'ขาด-ลา-มาสาย'!B77,'ขาด-ลา-มาสาย'!$N$8:$N$100)</f>
        <v>0</v>
      </c>
      <c r="X76" s="31">
        <f ca="1">SUMIF($B$7:$B$136,'ขาด-ลา-มาสาย'!B77,'ขาด-ลา-มาสาย'!$Q$8:$Q$100)</f>
        <v>0</v>
      </c>
      <c r="Y76" s="31">
        <f ca="1">SUMIF($B$7:$B$136,'ขาด-ลา-มาสาย'!B77,'ขาด-ลา-มาสาย'!$T$8:$T$100)</f>
        <v>0</v>
      </c>
      <c r="Z76" s="31">
        <f ca="1">SUMIF($B$7:$B$136,'ขาด-ลา-มาสาย'!B77,'ขาด-ลา-มาสาย'!$W$8:$W$100)</f>
        <v>0</v>
      </c>
      <c r="AA76" s="32">
        <f t="shared" ca="1" si="39"/>
        <v>0</v>
      </c>
      <c r="AB76" s="33">
        <f t="shared" ca="1" si="40"/>
        <v>3500000</v>
      </c>
      <c r="AC76" s="31">
        <f t="shared" ca="1" si="44"/>
        <v>3300000</v>
      </c>
      <c r="AD76" s="31">
        <f t="shared" ca="1" si="41"/>
        <v>165000</v>
      </c>
      <c r="AE76" s="32">
        <f t="shared" ca="1" si="42"/>
        <v>3335000</v>
      </c>
      <c r="AF76" s="32"/>
      <c r="AG76" s="32">
        <f t="shared" ca="1" si="43"/>
        <v>3335000</v>
      </c>
      <c r="AH76" s="31" t="s">
        <v>49</v>
      </c>
      <c r="AI76" s="34">
        <f t="shared" ca="1" si="45"/>
        <v>4904.411764705882</v>
      </c>
      <c r="AJ76" s="35"/>
      <c r="AK76" s="36" t="s">
        <v>20</v>
      </c>
      <c r="AL76" s="37">
        <f t="shared" si="46"/>
        <v>3500000</v>
      </c>
      <c r="AM76" s="38">
        <f t="shared" ca="1" si="47"/>
        <v>0</v>
      </c>
      <c r="AN76" s="38">
        <f t="shared" ca="1" si="48"/>
        <v>3500000</v>
      </c>
      <c r="AO76" s="38">
        <f t="shared" ca="1" si="49"/>
        <v>0</v>
      </c>
      <c r="AP76" s="39">
        <f t="shared" ca="1" si="50"/>
        <v>3335000</v>
      </c>
    </row>
    <row r="77" spans="1:42" s="40" customFormat="1">
      <c r="A77" s="25">
        <v>71</v>
      </c>
      <c r="B77" s="26" t="s">
        <v>227</v>
      </c>
      <c r="C77" s="26" t="s">
        <v>228</v>
      </c>
      <c r="D77" s="27">
        <v>2094399366</v>
      </c>
      <c r="E77" s="26" t="s">
        <v>229</v>
      </c>
      <c r="F77" s="28" t="s">
        <v>27</v>
      </c>
      <c r="G77" s="29">
        <v>26</v>
      </c>
      <c r="H77" s="49">
        <f>8000*680.67</f>
        <v>5445360</v>
      </c>
      <c r="I77" s="31">
        <f ca="1">SUMIF($B$7:$B$175,OT!B78,OT!$S$8:$S$160)</f>
        <v>0</v>
      </c>
      <c r="J77" s="30">
        <f ca="1">SUMIF($B$7:$B$136,เงินกะ!B78,เงินกะ!$M$8:$M$100)</f>
        <v>0</v>
      </c>
      <c r="K77" s="31"/>
      <c r="L77" s="31"/>
      <c r="M77" s="31"/>
      <c r="N77" s="31"/>
      <c r="O77" s="31"/>
      <c r="P77" s="31"/>
      <c r="Q77" s="31"/>
      <c r="R77" s="31"/>
      <c r="S77" s="31"/>
      <c r="T77" s="32">
        <f t="shared" ca="1" si="38"/>
        <v>5445360</v>
      </c>
      <c r="U77" s="33"/>
      <c r="V77" s="31">
        <f ca="1">SUMIF($B$7:$B$136,'ขาด-ลา-มาสาย'!B78,'ขาด-ลา-มาสาย'!$K$8:$K$100)</f>
        <v>0</v>
      </c>
      <c r="W77" s="31">
        <f ca="1">SUMIF($B$7:$B$136,'ขาด-ลา-มาสาย'!B78,'ขาด-ลา-มาสาย'!$N$8:$N$100)</f>
        <v>0</v>
      </c>
      <c r="X77" s="31">
        <f ca="1">SUMIF($B$7:$B$136,'ขาด-ลา-มาสาย'!B78,'ขาด-ลา-มาสาย'!$Q$8:$Q$100)</f>
        <v>0</v>
      </c>
      <c r="Y77" s="31">
        <f ca="1">SUMIF($B$7:$B$136,'ขาด-ลา-มาสาย'!B78,'ขาด-ลา-มาสาย'!$T$8:$T$100)</f>
        <v>0</v>
      </c>
      <c r="Z77" s="31">
        <f ca="1">SUMIF($B$7:$B$136,'ขาด-ลา-มาสาย'!B78,'ขาด-ลา-มาสาย'!$W$8:$W$100)</f>
        <v>0</v>
      </c>
      <c r="AA77" s="32">
        <f t="shared" ca="1" si="39"/>
        <v>0</v>
      </c>
      <c r="AB77" s="33">
        <f t="shared" ca="1" si="40"/>
        <v>5445360</v>
      </c>
      <c r="AC77" s="31">
        <f t="shared" ca="1" si="44"/>
        <v>5245360</v>
      </c>
      <c r="AD77" s="31">
        <f t="shared" ca="1" si="41"/>
        <v>262268</v>
      </c>
      <c r="AE77" s="32">
        <f t="shared" ca="1" si="42"/>
        <v>5183092</v>
      </c>
      <c r="AF77" s="32"/>
      <c r="AG77" s="32">
        <f t="shared" ca="1" si="43"/>
        <v>5183092</v>
      </c>
      <c r="AH77" s="31" t="s">
        <v>49</v>
      </c>
      <c r="AI77" s="34">
        <f t="shared" ca="1" si="45"/>
        <v>7622.1941176470591</v>
      </c>
      <c r="AJ77" s="35"/>
      <c r="AK77" s="36" t="s">
        <v>20</v>
      </c>
      <c r="AL77" s="37">
        <f t="shared" si="46"/>
        <v>5445360</v>
      </c>
      <c r="AM77" s="38">
        <f t="shared" ca="1" si="47"/>
        <v>0</v>
      </c>
      <c r="AN77" s="38">
        <f t="shared" ca="1" si="48"/>
        <v>5445360</v>
      </c>
      <c r="AO77" s="38">
        <f t="shared" ca="1" si="49"/>
        <v>0</v>
      </c>
      <c r="AP77" s="39">
        <f t="shared" ca="1" si="50"/>
        <v>5183092</v>
      </c>
    </row>
    <row r="78" spans="1:42" s="40" customFormat="1">
      <c r="A78" s="25">
        <v>72</v>
      </c>
      <c r="B78" s="26" t="s">
        <v>230</v>
      </c>
      <c r="C78" s="26" t="s">
        <v>231</v>
      </c>
      <c r="D78" s="27">
        <v>2077880077</v>
      </c>
      <c r="E78" s="26" t="s">
        <v>229</v>
      </c>
      <c r="F78" s="28" t="s">
        <v>27</v>
      </c>
      <c r="G78" s="29">
        <v>26</v>
      </c>
      <c r="H78" s="49">
        <f>7200*680.67</f>
        <v>4900824</v>
      </c>
      <c r="I78" s="31">
        <f ca="1">SUMIF($B$7:$B$175,OT!B79,OT!$S$8:$S$160)</f>
        <v>0</v>
      </c>
      <c r="J78" s="30">
        <f ca="1">SUMIF($B$7:$B$136,เงินกะ!B79,เงินกะ!$M$8:$M$100)</f>
        <v>0</v>
      </c>
      <c r="K78" s="31"/>
      <c r="L78" s="31"/>
      <c r="M78" s="31"/>
      <c r="N78" s="31"/>
      <c r="O78" s="31"/>
      <c r="P78" s="31"/>
      <c r="Q78" s="31"/>
      <c r="R78" s="31"/>
      <c r="S78" s="31">
        <f>200000/26*25</f>
        <v>192307.69230769231</v>
      </c>
      <c r="T78" s="32">
        <f t="shared" ca="1" si="38"/>
        <v>5093131.692307692</v>
      </c>
      <c r="U78" s="33"/>
      <c r="V78" s="31">
        <f ca="1">SUMIF($B$7:$B$136,'ขาด-ลา-มาสาย'!B79,'ขาด-ลา-มาสาย'!$K$8:$K$100)</f>
        <v>0</v>
      </c>
      <c r="W78" s="31">
        <f ca="1">SUMIF($B$7:$B$136,'ขาด-ลา-มาสาย'!B79,'ขาด-ลา-มาสาย'!$N$8:$N$100)</f>
        <v>0</v>
      </c>
      <c r="X78" s="31">
        <f ca="1">SUMIF($B$7:$B$136,'ขาด-ลา-มาสาย'!B79,'ขาด-ลา-มาสาย'!$Q$8:$Q$100)</f>
        <v>0</v>
      </c>
      <c r="Y78" s="31">
        <f ca="1">SUMIF($B$7:$B$136,'ขาด-ลา-มาสาย'!B79,'ขาด-ลา-มาสาย'!$T$8:$T$100)</f>
        <v>188493.23076923078</v>
      </c>
      <c r="Z78" s="31">
        <f ca="1">SUMIF($B$7:$B$136,'ขาด-ลา-มาสาย'!B79,'ขาด-ลา-มาสาย'!$W$8:$W$100)</f>
        <v>0</v>
      </c>
      <c r="AA78" s="32">
        <f t="shared" ca="1" si="39"/>
        <v>188493.23076923078</v>
      </c>
      <c r="AB78" s="33">
        <f t="shared" ca="1" si="40"/>
        <v>4904638.461538461</v>
      </c>
      <c r="AC78" s="31">
        <f t="shared" ca="1" si="44"/>
        <v>4704638.461538461</v>
      </c>
      <c r="AD78" s="31">
        <f t="shared" ca="1" si="41"/>
        <v>235231.92307692306</v>
      </c>
      <c r="AE78" s="32">
        <f t="shared" ca="1" si="42"/>
        <v>4669406.538461538</v>
      </c>
      <c r="AF78" s="32"/>
      <c r="AG78" s="32">
        <f t="shared" ca="1" si="43"/>
        <v>4669406.538461538</v>
      </c>
      <c r="AH78" s="31" t="s">
        <v>49</v>
      </c>
      <c r="AI78" s="34">
        <f t="shared" ca="1" si="45"/>
        <v>6866.7743212669675</v>
      </c>
      <c r="AJ78" s="35"/>
      <c r="AK78" s="36" t="s">
        <v>20</v>
      </c>
      <c r="AL78" s="37">
        <f t="shared" si="46"/>
        <v>4900824</v>
      </c>
      <c r="AM78" s="38">
        <f t="shared" ca="1" si="47"/>
        <v>188493.23076923078</v>
      </c>
      <c r="AN78" s="38">
        <f t="shared" ca="1" si="48"/>
        <v>4712330.769230769</v>
      </c>
      <c r="AO78" s="38">
        <f t="shared" ca="1" si="49"/>
        <v>192307.69230769231</v>
      </c>
      <c r="AP78" s="39">
        <f t="shared" ca="1" si="50"/>
        <v>4669406.538461538</v>
      </c>
    </row>
    <row r="79" spans="1:42" s="40" customFormat="1">
      <c r="A79" s="25">
        <v>73</v>
      </c>
      <c r="B79" s="26" t="s">
        <v>232</v>
      </c>
      <c r="C79" s="26" t="s">
        <v>233</v>
      </c>
      <c r="D79" s="27">
        <v>2078344522</v>
      </c>
      <c r="E79" s="26" t="s">
        <v>185</v>
      </c>
      <c r="F79" s="28" t="s">
        <v>27</v>
      </c>
      <c r="G79" s="29">
        <v>26</v>
      </c>
      <c r="H79" s="31">
        <v>2500000</v>
      </c>
      <c r="I79" s="31">
        <f ca="1">SUMIF($B$7:$B$175,OT!B80,OT!$S$8:$S$160)</f>
        <v>0</v>
      </c>
      <c r="J79" s="30">
        <f ca="1">SUMIF($B$7:$B$136,เงินกะ!B80,เงินกะ!$M$8:$M$100)</f>
        <v>55288.461538461539</v>
      </c>
      <c r="K79" s="31"/>
      <c r="L79" s="31">
        <f>200000/26*18</f>
        <v>138461.53846153847</v>
      </c>
      <c r="M79" s="31"/>
      <c r="N79" s="31">
        <f>250000/26*18</f>
        <v>173076.92307692306</v>
      </c>
      <c r="O79" s="31">
        <f>150000/26*18</f>
        <v>103846.15384615384</v>
      </c>
      <c r="P79" s="31">
        <f>150000/26*18</f>
        <v>103846.15384615384</v>
      </c>
      <c r="Q79" s="31">
        <f>200000/26*18</f>
        <v>138461.53846153847</v>
      </c>
      <c r="R79" s="31">
        <v>350000</v>
      </c>
      <c r="S79" s="31">
        <f>400000/26*18</f>
        <v>276923.07692307694</v>
      </c>
      <c r="T79" s="32">
        <f t="shared" ca="1" si="38"/>
        <v>3839903.8461538465</v>
      </c>
      <c r="U79" s="33"/>
      <c r="V79" s="31">
        <f ca="1">SUMIF($B$7:$B$136,'ขาด-ลา-มาสาย'!B80,'ขาด-ลา-มาสาย'!$K$8:$K$100)</f>
        <v>0</v>
      </c>
      <c r="W79" s="31">
        <f ca="1">SUMIF($B$7:$B$136,'ขาด-ลา-มาสาย'!B80,'ขาด-ลา-มาสาย'!$N$8:$N$100)</f>
        <v>0</v>
      </c>
      <c r="X79" s="31">
        <f ca="1">SUMIF($B$7:$B$136,'ขาด-ลา-มาสาย'!B80,'ขาด-ลา-มาสาย'!$Q$8:$Q$100)</f>
        <v>0</v>
      </c>
      <c r="Y79" s="31">
        <f ca="1">SUMIF($B$7:$B$136,'ขาด-ลา-มาสาย'!B80,'ขาด-ลา-มาสาย'!$T$8:$T$100)</f>
        <v>0</v>
      </c>
      <c r="Z79" s="31">
        <f ca="1">SUMIF($B$7:$B$136,'ขาด-ลา-มาสาย'!B80,'ขาด-ลา-มาสาย'!$W$8:$W$100)</f>
        <v>865384.61538461538</v>
      </c>
      <c r="AA79" s="32">
        <f t="shared" ca="1" si="39"/>
        <v>865384.61538461538</v>
      </c>
      <c r="AB79" s="33">
        <f t="shared" ca="1" si="40"/>
        <v>2974519.230769231</v>
      </c>
      <c r="AC79" s="31">
        <f t="shared" ca="1" si="44"/>
        <v>2774519.230769231</v>
      </c>
      <c r="AD79" s="31">
        <f t="shared" ca="1" si="41"/>
        <v>138725.96153846156</v>
      </c>
      <c r="AE79" s="32">
        <f t="shared" ca="1" si="42"/>
        <v>2835793.2692307695</v>
      </c>
      <c r="AF79" s="32"/>
      <c r="AG79" s="32">
        <f t="shared" ca="1" si="43"/>
        <v>2835793.2692307695</v>
      </c>
      <c r="AH79" s="31" t="s">
        <v>49</v>
      </c>
      <c r="AI79" s="34">
        <f t="shared" ca="1" si="45"/>
        <v>4170.2842194570139</v>
      </c>
      <c r="AJ79" s="35"/>
      <c r="AK79" s="36"/>
      <c r="AL79" s="37"/>
      <c r="AM79" s="38"/>
      <c r="AN79" s="38"/>
      <c r="AO79" s="38"/>
      <c r="AP79" s="39"/>
    </row>
    <row r="80" spans="1:42" s="40" customFormat="1">
      <c r="A80" s="25"/>
      <c r="B80" s="26"/>
      <c r="C80" s="26"/>
      <c r="D80" s="27"/>
      <c r="E80" s="26"/>
      <c r="F80" s="28"/>
      <c r="G80" s="29"/>
      <c r="H80" s="31"/>
      <c r="I80" s="31">
        <f ca="1">SUMIF($B$7:$B$175,OT!B81,OT!$S$8:$S$160)</f>
        <v>0</v>
      </c>
      <c r="J80" s="30">
        <f ca="1">SUMIF($B$7:$B$136,เงินกะ!B81,เงินกะ!$M$8:$M$100)</f>
        <v>0</v>
      </c>
      <c r="K80" s="31"/>
      <c r="L80" s="31"/>
      <c r="M80" s="31"/>
      <c r="N80" s="31"/>
      <c r="O80" s="31"/>
      <c r="P80" s="31"/>
      <c r="Q80" s="31"/>
      <c r="R80" s="31"/>
      <c r="S80" s="31"/>
      <c r="T80" s="32"/>
      <c r="U80" s="33"/>
      <c r="V80" s="31">
        <f ca="1">SUMIF($B$7:$B$136,'ขาด-ลา-มาสาย'!B81,'ขาด-ลา-มาสาย'!$K$8:$K$100)</f>
        <v>0</v>
      </c>
      <c r="W80" s="31">
        <f ca="1">SUMIF($B$7:$B$136,'ขาด-ลา-มาสาย'!B81,'ขาด-ลา-มาสาย'!$N$8:$N$100)</f>
        <v>0</v>
      </c>
      <c r="X80" s="31">
        <f ca="1">SUMIF($B$7:$B$136,'ขาด-ลา-มาสาย'!B81,'ขาด-ลา-มาสาย'!$Q$8:$Q$100)</f>
        <v>0</v>
      </c>
      <c r="Y80" s="31">
        <f ca="1">SUMIF($B$7:$B$136,'ขาด-ลา-มาสาย'!B81,'ขาด-ลา-มาสาย'!$T$8:$T$100)</f>
        <v>0</v>
      </c>
      <c r="Z80" s="31">
        <f ca="1">SUMIF($B$7:$B$136,'ขาด-ลา-มาสาย'!B81,'ขาด-ลา-มาสาย'!$W$8:$W$100)</f>
        <v>0</v>
      </c>
      <c r="AA80" s="32">
        <f t="shared" ca="1" si="39"/>
        <v>0</v>
      </c>
      <c r="AB80" s="33">
        <f t="shared" ca="1" si="40"/>
        <v>0</v>
      </c>
      <c r="AC80" s="31"/>
      <c r="AD80" s="31">
        <f t="shared" si="41"/>
        <v>0</v>
      </c>
      <c r="AE80" s="32">
        <f t="shared" ca="1" si="42"/>
        <v>0</v>
      </c>
      <c r="AF80" s="32"/>
      <c r="AG80" s="32">
        <f t="shared" ca="1" si="43"/>
        <v>0</v>
      </c>
      <c r="AH80" s="31"/>
      <c r="AI80" s="34"/>
      <c r="AJ80" s="35"/>
      <c r="AK80" s="36"/>
      <c r="AL80" s="37"/>
      <c r="AM80" s="38"/>
      <c r="AN80" s="38"/>
      <c r="AO80" s="38"/>
      <c r="AP80" s="39"/>
    </row>
    <row r="81" spans="1:42" s="40" customFormat="1">
      <c r="A81" s="25"/>
      <c r="B81" s="26"/>
      <c r="C81" s="26"/>
      <c r="D81" s="27"/>
      <c r="E81" s="26"/>
      <c r="F81" s="28"/>
      <c r="G81" s="29"/>
      <c r="H81" s="31"/>
      <c r="I81" s="31">
        <f ca="1">SUMIF($B$7:$B$175,OT!B82,OT!$S$8:$S$160)</f>
        <v>0</v>
      </c>
      <c r="J81" s="30">
        <f ca="1">SUMIF($B$7:$B$136,เงินกะ!B82,เงินกะ!$M$8:$M$100)</f>
        <v>0</v>
      </c>
      <c r="K81" s="31"/>
      <c r="L81" s="31"/>
      <c r="M81" s="31"/>
      <c r="N81" s="31"/>
      <c r="O81" s="31"/>
      <c r="P81" s="31"/>
      <c r="Q81" s="31"/>
      <c r="R81" s="31"/>
      <c r="S81" s="31"/>
      <c r="T81" s="32"/>
      <c r="U81" s="33"/>
      <c r="V81" s="31">
        <f ca="1">SUMIF($B$7:$B$136,'ขาด-ลา-มาสาย'!B82,'ขาด-ลา-มาสาย'!$K$8:$K$100)</f>
        <v>0</v>
      </c>
      <c r="W81" s="31">
        <f ca="1">SUMIF($B$7:$B$136,'ขาด-ลา-มาสาย'!B82,'ขาด-ลา-มาสาย'!$N$8:$N$100)</f>
        <v>0</v>
      </c>
      <c r="X81" s="31">
        <f ca="1">SUMIF($B$7:$B$136,'ขาด-ลา-มาสาย'!B82,'ขาด-ลา-มาสาย'!$Q$8:$Q$100)</f>
        <v>0</v>
      </c>
      <c r="Y81" s="31">
        <f ca="1">SUMIF($B$7:$B$136,'ขาด-ลา-มาสาย'!B82,'ขาด-ลา-มาสาย'!$T$8:$T$100)</f>
        <v>0</v>
      </c>
      <c r="Z81" s="31">
        <f ca="1">SUMIF($B$7:$B$136,'ขาด-ลา-มาสาย'!B82,'ขาด-ลา-มาสาย'!$W$8:$W$100)</f>
        <v>0</v>
      </c>
      <c r="AA81" s="32">
        <f t="shared" ca="1" si="39"/>
        <v>0</v>
      </c>
      <c r="AB81" s="33">
        <f t="shared" ca="1" si="40"/>
        <v>0</v>
      </c>
      <c r="AC81" s="31"/>
      <c r="AD81" s="31">
        <f t="shared" si="41"/>
        <v>0</v>
      </c>
      <c r="AE81" s="32">
        <f t="shared" ca="1" si="42"/>
        <v>0</v>
      </c>
      <c r="AF81" s="32"/>
      <c r="AG81" s="32">
        <f t="shared" ca="1" si="43"/>
        <v>0</v>
      </c>
      <c r="AH81" s="31"/>
      <c r="AI81" s="34"/>
      <c r="AJ81" s="35"/>
      <c r="AK81" s="36"/>
      <c r="AL81" s="37"/>
      <c r="AM81" s="38"/>
      <c r="AN81" s="38"/>
      <c r="AO81" s="38"/>
      <c r="AP81" s="39"/>
    </row>
    <row r="82" spans="1:42" s="40" customFormat="1">
      <c r="A82" s="25"/>
      <c r="B82" s="26"/>
      <c r="C82" s="26"/>
      <c r="D82" s="27"/>
      <c r="E82" s="26"/>
      <c r="F82" s="28"/>
      <c r="G82" s="29"/>
      <c r="H82" s="31"/>
      <c r="I82" s="31">
        <f ca="1">SUMIF($B$7:$B$175,OT!B83,OT!$S$8:$S$160)</f>
        <v>0</v>
      </c>
      <c r="J82" s="30">
        <f ca="1">SUMIF($B$7:$B$136,เงินกะ!B83,เงินกะ!$M$8:$M$100)</f>
        <v>0</v>
      </c>
      <c r="K82" s="31"/>
      <c r="L82" s="31"/>
      <c r="M82" s="31"/>
      <c r="N82" s="31"/>
      <c r="O82" s="31"/>
      <c r="P82" s="31"/>
      <c r="Q82" s="31"/>
      <c r="R82" s="31"/>
      <c r="S82" s="31"/>
      <c r="T82" s="32"/>
      <c r="U82" s="33"/>
      <c r="V82" s="31">
        <f ca="1">SUMIF($B$7:$B$136,'ขาด-ลา-มาสาย'!B83,'ขาด-ลา-มาสาย'!$K$8:$K$100)</f>
        <v>0</v>
      </c>
      <c r="W82" s="31">
        <f ca="1">SUMIF($B$7:$B$136,'ขาด-ลา-มาสาย'!B83,'ขาด-ลา-มาสาย'!$N$8:$N$100)</f>
        <v>0</v>
      </c>
      <c r="X82" s="31">
        <f ca="1">SUMIF($B$7:$B$136,'ขาด-ลา-มาสาย'!B83,'ขาด-ลา-มาสาย'!$Q$8:$Q$100)</f>
        <v>0</v>
      </c>
      <c r="Y82" s="31">
        <f ca="1">SUMIF($B$7:$B$136,'ขาด-ลา-มาสาย'!B83,'ขาด-ลา-มาสาย'!$T$8:$T$100)</f>
        <v>0</v>
      </c>
      <c r="Z82" s="31">
        <f ca="1">SUMIF($B$7:$B$136,'ขาด-ลา-มาสาย'!B83,'ขาด-ลา-มาสาย'!$W$8:$W$100)</f>
        <v>0</v>
      </c>
      <c r="AA82" s="32">
        <f t="shared" ca="1" si="39"/>
        <v>0</v>
      </c>
      <c r="AB82" s="33">
        <f t="shared" ca="1" si="40"/>
        <v>0</v>
      </c>
      <c r="AC82" s="31"/>
      <c r="AD82" s="31">
        <f t="shared" si="41"/>
        <v>0</v>
      </c>
      <c r="AE82" s="32">
        <f t="shared" ca="1" si="42"/>
        <v>0</v>
      </c>
      <c r="AF82" s="32"/>
      <c r="AG82" s="32">
        <f t="shared" ca="1" si="43"/>
        <v>0</v>
      </c>
      <c r="AH82" s="31"/>
      <c r="AI82" s="34"/>
      <c r="AJ82" s="35"/>
      <c r="AK82" s="36"/>
      <c r="AL82" s="37"/>
      <c r="AM82" s="38"/>
      <c r="AN82" s="38"/>
      <c r="AO82" s="38"/>
      <c r="AP82" s="39"/>
    </row>
    <row r="83" spans="1:42" s="40" customFormat="1">
      <c r="A83" s="25"/>
      <c r="B83" s="26"/>
      <c r="C83" s="26"/>
      <c r="D83" s="27"/>
      <c r="E83" s="26"/>
      <c r="F83" s="28"/>
      <c r="G83" s="29"/>
      <c r="H83" s="31"/>
      <c r="I83" s="31">
        <f ca="1">SUMIF($B$7:$B$175,OT!B84,OT!$S$8:$S$160)</f>
        <v>0</v>
      </c>
      <c r="J83" s="30">
        <f ca="1">SUMIF($B$7:$B$136,เงินกะ!B84,เงินกะ!$M$8:$M$100)</f>
        <v>0</v>
      </c>
      <c r="K83" s="31"/>
      <c r="L83" s="31"/>
      <c r="M83" s="31"/>
      <c r="N83" s="31"/>
      <c r="O83" s="31"/>
      <c r="P83" s="31"/>
      <c r="Q83" s="31"/>
      <c r="R83" s="31"/>
      <c r="S83" s="31"/>
      <c r="T83" s="32"/>
      <c r="U83" s="33"/>
      <c r="V83" s="31">
        <f ca="1">SUMIF($B$7:$B$136,'ขาด-ลา-มาสาย'!B84,'ขาด-ลา-มาสาย'!$K$8:$K$100)</f>
        <v>0</v>
      </c>
      <c r="W83" s="31">
        <f ca="1">SUMIF($B$7:$B$136,'ขาด-ลา-มาสาย'!B84,'ขาด-ลา-มาสาย'!$N$8:$N$100)</f>
        <v>0</v>
      </c>
      <c r="X83" s="31">
        <f ca="1">SUMIF($B$7:$B$136,'ขาด-ลา-มาสาย'!B84,'ขาด-ลา-มาสาย'!$Q$8:$Q$100)</f>
        <v>0</v>
      </c>
      <c r="Y83" s="31">
        <f ca="1">SUMIF($B$7:$B$136,'ขาด-ลา-มาสาย'!B84,'ขาด-ลา-มาสาย'!$T$8:$T$100)</f>
        <v>0</v>
      </c>
      <c r="Z83" s="31">
        <f ca="1">SUMIF($B$7:$B$136,'ขาด-ลา-มาสาย'!B84,'ขาด-ลา-มาสาย'!$W$8:$W$100)</f>
        <v>0</v>
      </c>
      <c r="AA83" s="32">
        <f t="shared" ca="1" si="39"/>
        <v>0</v>
      </c>
      <c r="AB83" s="33">
        <f t="shared" ca="1" si="40"/>
        <v>0</v>
      </c>
      <c r="AC83" s="31"/>
      <c r="AD83" s="31">
        <f t="shared" si="41"/>
        <v>0</v>
      </c>
      <c r="AE83" s="32">
        <f t="shared" ca="1" si="42"/>
        <v>0</v>
      </c>
      <c r="AF83" s="32"/>
      <c r="AG83" s="32">
        <f t="shared" ca="1" si="43"/>
        <v>0</v>
      </c>
      <c r="AH83" s="31"/>
      <c r="AI83" s="34"/>
      <c r="AJ83" s="35"/>
      <c r="AK83" s="36"/>
      <c r="AL83" s="37"/>
      <c r="AM83" s="38"/>
      <c r="AN83" s="38"/>
      <c r="AO83" s="38"/>
      <c r="AP83" s="39"/>
    </row>
    <row r="84" spans="1:42" s="40" customFormat="1">
      <c r="A84" s="25"/>
      <c r="B84" s="26"/>
      <c r="C84" s="26"/>
      <c r="D84" s="27"/>
      <c r="E84" s="26"/>
      <c r="F84" s="28"/>
      <c r="G84" s="29"/>
      <c r="H84" s="31"/>
      <c r="I84" s="31">
        <f ca="1">SUMIF($B$7:$B$175,OT!B85,OT!$S$8:$S$160)</f>
        <v>0</v>
      </c>
      <c r="J84" s="30">
        <f ca="1">SUMIF($B$7:$B$136,เงินกะ!B85,เงินกะ!$M$8:$M$100)</f>
        <v>0</v>
      </c>
      <c r="K84" s="31"/>
      <c r="L84" s="31"/>
      <c r="M84" s="31"/>
      <c r="N84" s="31"/>
      <c r="O84" s="31"/>
      <c r="P84" s="31"/>
      <c r="Q84" s="31"/>
      <c r="R84" s="31"/>
      <c r="S84" s="31"/>
      <c r="T84" s="32"/>
      <c r="U84" s="33"/>
      <c r="V84" s="31">
        <f ca="1">SUMIF($B$7:$B$136,'ขาด-ลา-มาสาย'!B85,'ขาด-ลา-มาสาย'!$K$8:$K$100)</f>
        <v>0</v>
      </c>
      <c r="W84" s="31">
        <f ca="1">SUMIF($B$7:$B$136,'ขาด-ลา-มาสาย'!B85,'ขาด-ลา-มาสาย'!$N$8:$N$100)</f>
        <v>0</v>
      </c>
      <c r="X84" s="31">
        <f ca="1">SUMIF($B$7:$B$136,'ขาด-ลา-มาสาย'!B85,'ขาด-ลา-มาสาย'!$Q$8:$Q$100)</f>
        <v>0</v>
      </c>
      <c r="Y84" s="31">
        <f ca="1">SUMIF($B$7:$B$136,'ขาด-ลา-มาสาย'!B85,'ขาด-ลา-มาสาย'!$T$8:$T$100)</f>
        <v>0</v>
      </c>
      <c r="Z84" s="31">
        <f ca="1">SUMIF($B$7:$B$136,'ขาด-ลา-มาสาย'!B85,'ขาด-ลา-มาสาย'!$W$8:$W$100)</f>
        <v>0</v>
      </c>
      <c r="AA84" s="32">
        <f t="shared" ca="1" si="39"/>
        <v>0</v>
      </c>
      <c r="AB84" s="33">
        <f t="shared" ca="1" si="40"/>
        <v>0</v>
      </c>
      <c r="AC84" s="31"/>
      <c r="AD84" s="31">
        <f t="shared" si="41"/>
        <v>0</v>
      </c>
      <c r="AE84" s="32">
        <f t="shared" ca="1" si="42"/>
        <v>0</v>
      </c>
      <c r="AF84" s="32"/>
      <c r="AG84" s="32">
        <f t="shared" ca="1" si="43"/>
        <v>0</v>
      </c>
      <c r="AH84" s="31"/>
      <c r="AI84" s="34"/>
      <c r="AJ84" s="35"/>
      <c r="AK84" s="36"/>
      <c r="AL84" s="37"/>
      <c r="AM84" s="38"/>
      <c r="AN84" s="38"/>
      <c r="AO84" s="38"/>
      <c r="AP84" s="39"/>
    </row>
    <row r="85" spans="1:42" s="40" customFormat="1">
      <c r="A85" s="25"/>
      <c r="B85" s="26"/>
      <c r="C85" s="26"/>
      <c r="D85" s="27"/>
      <c r="E85" s="26"/>
      <c r="F85" s="28"/>
      <c r="G85" s="29"/>
      <c r="H85" s="31"/>
      <c r="I85" s="31">
        <f ca="1">SUMIF($B$7:$B$175,OT!B86,OT!$S$8:$S$160)</f>
        <v>0</v>
      </c>
      <c r="J85" s="30">
        <f ca="1">SUMIF($B$7:$B$136,เงินกะ!B86,เงินกะ!$M$8:$M$100)</f>
        <v>0</v>
      </c>
      <c r="K85" s="31"/>
      <c r="L85" s="31"/>
      <c r="M85" s="31"/>
      <c r="N85" s="31"/>
      <c r="O85" s="31"/>
      <c r="P85" s="31"/>
      <c r="Q85" s="31"/>
      <c r="R85" s="31"/>
      <c r="S85" s="31"/>
      <c r="T85" s="32"/>
      <c r="U85" s="33"/>
      <c r="V85" s="31">
        <f ca="1">SUMIF($B$7:$B$136,'ขาด-ลา-มาสาย'!B86,'ขาด-ลา-มาสาย'!$K$8:$K$100)</f>
        <v>0</v>
      </c>
      <c r="W85" s="31">
        <f ca="1">SUMIF($B$7:$B$136,'ขาด-ลา-มาสาย'!B86,'ขาด-ลา-มาสาย'!$N$8:$N$100)</f>
        <v>0</v>
      </c>
      <c r="X85" s="31">
        <f ca="1">SUMIF($B$7:$B$136,'ขาด-ลา-มาสาย'!B86,'ขาด-ลา-มาสาย'!$Q$8:$Q$100)</f>
        <v>0</v>
      </c>
      <c r="Y85" s="31">
        <f ca="1">SUMIF($B$7:$B$136,'ขาด-ลา-มาสาย'!B86,'ขาด-ลา-มาสาย'!$T$8:$T$100)</f>
        <v>0</v>
      </c>
      <c r="Z85" s="31">
        <f ca="1">SUMIF($B$7:$B$136,'ขาด-ลา-มาสาย'!B86,'ขาด-ลา-มาสาย'!$W$8:$W$100)</f>
        <v>0</v>
      </c>
      <c r="AA85" s="32">
        <f t="shared" ca="1" si="39"/>
        <v>0</v>
      </c>
      <c r="AB85" s="33">
        <f t="shared" ca="1" si="40"/>
        <v>0</v>
      </c>
      <c r="AC85" s="31"/>
      <c r="AD85" s="31">
        <f t="shared" si="41"/>
        <v>0</v>
      </c>
      <c r="AE85" s="32">
        <f t="shared" ca="1" si="42"/>
        <v>0</v>
      </c>
      <c r="AF85" s="32"/>
      <c r="AG85" s="32">
        <f t="shared" ca="1" si="43"/>
        <v>0</v>
      </c>
      <c r="AH85" s="31"/>
      <c r="AI85" s="34"/>
      <c r="AJ85" s="35"/>
      <c r="AK85" s="36"/>
      <c r="AL85" s="37"/>
      <c r="AM85" s="38"/>
      <c r="AN85" s="38"/>
      <c r="AO85" s="38"/>
      <c r="AP85" s="39"/>
    </row>
    <row r="86" spans="1:42" s="40" customFormat="1">
      <c r="A86" s="25"/>
      <c r="B86" s="26"/>
      <c r="C86" s="26"/>
      <c r="D86" s="27"/>
      <c r="E86" s="26"/>
      <c r="F86" s="28"/>
      <c r="G86" s="29"/>
      <c r="H86" s="31"/>
      <c r="I86" s="31">
        <f ca="1">SUMIF($B$7:$B$175,OT!B87,OT!$S$8:$S$160)</f>
        <v>0</v>
      </c>
      <c r="J86" s="30">
        <f ca="1">SUMIF($B$7:$B$136,เงินกะ!B87,เงินกะ!$M$8:$M$100)</f>
        <v>0</v>
      </c>
      <c r="K86" s="31"/>
      <c r="L86" s="31"/>
      <c r="M86" s="31"/>
      <c r="N86" s="31"/>
      <c r="O86" s="31"/>
      <c r="P86" s="31"/>
      <c r="Q86" s="31"/>
      <c r="R86" s="31"/>
      <c r="S86" s="31"/>
      <c r="T86" s="32"/>
      <c r="U86" s="33"/>
      <c r="V86" s="31">
        <f ca="1">SUMIF($B$7:$B$136,'ขาด-ลา-มาสาย'!B87,'ขาด-ลา-มาสาย'!$K$8:$K$100)</f>
        <v>0</v>
      </c>
      <c r="W86" s="31">
        <f ca="1">SUMIF($B$7:$B$136,'ขาด-ลา-มาสาย'!B87,'ขาด-ลา-มาสาย'!$N$8:$N$100)</f>
        <v>0</v>
      </c>
      <c r="X86" s="31">
        <f ca="1">SUMIF($B$7:$B$136,'ขาด-ลา-มาสาย'!B87,'ขาด-ลา-มาสาย'!$Q$8:$Q$100)</f>
        <v>0</v>
      </c>
      <c r="Y86" s="31">
        <f ca="1">SUMIF($B$7:$B$136,'ขาด-ลา-มาสาย'!B87,'ขาด-ลา-มาสาย'!$T$8:$T$100)</f>
        <v>0</v>
      </c>
      <c r="Z86" s="31">
        <f ca="1">SUMIF($B$7:$B$136,'ขาด-ลา-มาสาย'!B87,'ขาด-ลา-มาสาย'!$W$8:$W$100)</f>
        <v>0</v>
      </c>
      <c r="AA86" s="32">
        <f t="shared" ca="1" si="39"/>
        <v>0</v>
      </c>
      <c r="AB86" s="33">
        <f t="shared" ca="1" si="40"/>
        <v>0</v>
      </c>
      <c r="AC86" s="31"/>
      <c r="AD86" s="31">
        <f t="shared" si="41"/>
        <v>0</v>
      </c>
      <c r="AE86" s="32">
        <f t="shared" ca="1" si="42"/>
        <v>0</v>
      </c>
      <c r="AF86" s="32"/>
      <c r="AG86" s="32">
        <f t="shared" ca="1" si="43"/>
        <v>0</v>
      </c>
      <c r="AH86" s="31"/>
      <c r="AI86" s="34"/>
      <c r="AJ86" s="35"/>
      <c r="AK86" s="36"/>
      <c r="AL86" s="37"/>
      <c r="AM86" s="38"/>
      <c r="AN86" s="38"/>
      <c r="AO86" s="38"/>
      <c r="AP86" s="39"/>
    </row>
    <row r="87" spans="1:42" s="40" customFormat="1">
      <c r="A87" s="25"/>
      <c r="B87" s="26"/>
      <c r="C87" s="26"/>
      <c r="D87" s="27"/>
      <c r="E87" s="26"/>
      <c r="F87" s="28"/>
      <c r="G87" s="29"/>
      <c r="H87" s="31"/>
      <c r="I87" s="31">
        <f ca="1">SUMIF($B$7:$B$175,OT!B88,OT!$S$8:$S$160)</f>
        <v>0</v>
      </c>
      <c r="J87" s="30">
        <f ca="1">SUMIF($B$7:$B$136,เงินกะ!B88,เงินกะ!$M$8:$M$100)</f>
        <v>0</v>
      </c>
      <c r="K87" s="31"/>
      <c r="L87" s="31"/>
      <c r="M87" s="31"/>
      <c r="N87" s="31"/>
      <c r="O87" s="31"/>
      <c r="P87" s="31"/>
      <c r="Q87" s="31"/>
      <c r="R87" s="31"/>
      <c r="S87" s="31"/>
      <c r="T87" s="32"/>
      <c r="U87" s="33"/>
      <c r="V87" s="31">
        <f ca="1">SUMIF($B$7:$B$136,'ขาด-ลา-มาสาย'!B88,'ขาด-ลา-มาสาย'!$K$8:$K$100)</f>
        <v>0</v>
      </c>
      <c r="W87" s="31">
        <f ca="1">SUMIF($B$7:$B$136,'ขาด-ลา-มาสาย'!B88,'ขาด-ลา-มาสาย'!$N$8:$N$100)</f>
        <v>0</v>
      </c>
      <c r="X87" s="31">
        <f ca="1">SUMIF($B$7:$B$136,'ขาด-ลา-มาสาย'!B88,'ขาด-ลา-มาสาย'!$Q$8:$Q$100)</f>
        <v>0</v>
      </c>
      <c r="Y87" s="31">
        <f ca="1">SUMIF($B$7:$B$136,'ขาด-ลา-มาสาย'!B88,'ขาด-ลา-มาสาย'!$T$8:$T$100)</f>
        <v>0</v>
      </c>
      <c r="Z87" s="31">
        <f ca="1">SUMIF($B$7:$B$136,'ขาด-ลา-มาสาย'!B88,'ขาด-ลา-มาสาย'!$W$8:$W$100)</f>
        <v>0</v>
      </c>
      <c r="AA87" s="32">
        <f t="shared" ca="1" si="39"/>
        <v>0</v>
      </c>
      <c r="AB87" s="33">
        <f t="shared" ca="1" si="40"/>
        <v>0</v>
      </c>
      <c r="AC87" s="31"/>
      <c r="AD87" s="31">
        <f t="shared" si="41"/>
        <v>0</v>
      </c>
      <c r="AE87" s="32">
        <f t="shared" ca="1" si="42"/>
        <v>0</v>
      </c>
      <c r="AF87" s="32"/>
      <c r="AG87" s="32">
        <f t="shared" ca="1" si="43"/>
        <v>0</v>
      </c>
      <c r="AH87" s="31"/>
      <c r="AI87" s="34"/>
      <c r="AJ87" s="35"/>
      <c r="AK87" s="36"/>
      <c r="AL87" s="37"/>
      <c r="AM87" s="38"/>
      <c r="AN87" s="38"/>
      <c r="AO87" s="38"/>
      <c r="AP87" s="39"/>
    </row>
    <row r="88" spans="1:42" s="40" customFormat="1">
      <c r="A88" s="25"/>
      <c r="B88" s="26"/>
      <c r="C88" s="26"/>
      <c r="D88" s="27"/>
      <c r="E88" s="26"/>
      <c r="F88" s="28"/>
      <c r="G88" s="29"/>
      <c r="H88" s="31"/>
      <c r="I88" s="31">
        <f ca="1">SUMIF($B$7:$B$175,OT!B89,OT!$S$8:$S$160)</f>
        <v>0</v>
      </c>
      <c r="J88" s="30">
        <f ca="1">SUMIF($B$7:$B$136,เงินกะ!B89,เงินกะ!$M$8:$M$100)</f>
        <v>0</v>
      </c>
      <c r="K88" s="31"/>
      <c r="L88" s="31"/>
      <c r="M88" s="31"/>
      <c r="N88" s="31"/>
      <c r="O88" s="31"/>
      <c r="P88" s="31"/>
      <c r="Q88" s="31"/>
      <c r="R88" s="31"/>
      <c r="S88" s="31"/>
      <c r="T88" s="32"/>
      <c r="U88" s="33"/>
      <c r="V88" s="31">
        <f ca="1">SUMIF($B$7:$B$136,'ขาด-ลา-มาสาย'!B89,'ขาด-ลา-มาสาย'!$K$8:$K$100)</f>
        <v>0</v>
      </c>
      <c r="W88" s="31">
        <f ca="1">SUMIF($B$7:$B$136,'ขาด-ลา-มาสาย'!B89,'ขาด-ลา-มาสาย'!$N$8:$N$100)</f>
        <v>0</v>
      </c>
      <c r="X88" s="31">
        <f ca="1">SUMIF($B$7:$B$136,'ขาด-ลา-มาสาย'!B89,'ขาด-ลา-มาสาย'!$Q$8:$Q$100)</f>
        <v>0</v>
      </c>
      <c r="Y88" s="31">
        <f ca="1">SUMIF($B$7:$B$136,'ขาด-ลา-มาสาย'!B89,'ขาด-ลา-มาสาย'!$T$8:$T$100)</f>
        <v>0</v>
      </c>
      <c r="Z88" s="31">
        <f ca="1">SUMIF($B$7:$B$136,'ขาด-ลา-มาสาย'!B89,'ขาด-ลา-มาสาย'!$W$8:$W$100)</f>
        <v>0</v>
      </c>
      <c r="AA88" s="32">
        <f t="shared" ca="1" si="39"/>
        <v>0</v>
      </c>
      <c r="AB88" s="33">
        <f t="shared" ca="1" si="40"/>
        <v>0</v>
      </c>
      <c r="AC88" s="31"/>
      <c r="AD88" s="31">
        <f t="shared" si="41"/>
        <v>0</v>
      </c>
      <c r="AE88" s="32">
        <f t="shared" ca="1" si="42"/>
        <v>0</v>
      </c>
      <c r="AF88" s="32"/>
      <c r="AG88" s="32">
        <f t="shared" ca="1" si="43"/>
        <v>0</v>
      </c>
      <c r="AH88" s="31"/>
      <c r="AI88" s="34"/>
      <c r="AJ88" s="35"/>
      <c r="AK88" s="36"/>
      <c r="AL88" s="37"/>
      <c r="AM88" s="38"/>
      <c r="AN88" s="38"/>
      <c r="AO88" s="38"/>
      <c r="AP88" s="39"/>
    </row>
    <row r="89" spans="1:42" s="40" customFormat="1">
      <c r="A89" s="25"/>
      <c r="B89" s="26"/>
      <c r="C89" s="26"/>
      <c r="D89" s="27"/>
      <c r="E89" s="26"/>
      <c r="F89" s="28"/>
      <c r="G89" s="29"/>
      <c r="H89" s="31"/>
      <c r="I89" s="31"/>
      <c r="J89" s="30"/>
      <c r="K89" s="31"/>
      <c r="L89" s="31"/>
      <c r="M89" s="31"/>
      <c r="N89" s="31"/>
      <c r="O89" s="31"/>
      <c r="P89" s="31"/>
      <c r="Q89" s="31"/>
      <c r="R89" s="31"/>
      <c r="S89" s="31"/>
      <c r="T89" s="32"/>
      <c r="U89" s="33"/>
      <c r="V89" s="31">
        <f ca="1">SUMIF($B$7:$B$136,'ขาด-ลา-มาสาย'!B90,'ขาด-ลา-มาสาย'!$K$8:$K$100)</f>
        <v>0</v>
      </c>
      <c r="W89" s="31">
        <f ca="1">SUMIF($B$7:$B$136,'ขาด-ลา-มาสาย'!B90,'ขาด-ลา-มาสาย'!$N$8:$N$100)</f>
        <v>0</v>
      </c>
      <c r="X89" s="31">
        <f ca="1">SUMIF($B$7:$B$136,'ขาด-ลา-มาสาย'!B90,'ขาด-ลา-มาสาย'!$Q$8:$Q$100)</f>
        <v>0</v>
      </c>
      <c r="Y89" s="31">
        <f ca="1">SUMIF($B$7:$B$136,'ขาด-ลา-มาสาย'!B90,'ขาด-ลา-มาสาย'!$T$8:$T$100)</f>
        <v>0</v>
      </c>
      <c r="Z89" s="31">
        <f ca="1">SUMIF($B$7:$B$136,'ขาด-ลา-มาสาย'!B90,'ขาด-ลา-มาสาย'!$W$8:$W$100)</f>
        <v>0</v>
      </c>
      <c r="AA89" s="32">
        <f t="shared" ca="1" si="39"/>
        <v>0</v>
      </c>
      <c r="AB89" s="33">
        <f t="shared" ca="1" si="40"/>
        <v>0</v>
      </c>
      <c r="AC89" s="31"/>
      <c r="AD89" s="31">
        <f t="shared" si="41"/>
        <v>0</v>
      </c>
      <c r="AE89" s="32">
        <f t="shared" ca="1" si="42"/>
        <v>0</v>
      </c>
      <c r="AF89" s="32"/>
      <c r="AG89" s="32">
        <f t="shared" ca="1" si="43"/>
        <v>0</v>
      </c>
      <c r="AH89" s="31"/>
      <c r="AI89" s="34"/>
      <c r="AJ89" s="35"/>
      <c r="AK89" s="36"/>
      <c r="AL89" s="37"/>
      <c r="AM89" s="38"/>
      <c r="AN89" s="38"/>
      <c r="AO89" s="38"/>
      <c r="AP89" s="39"/>
    </row>
    <row r="90" spans="1:42" s="40" customFormat="1">
      <c r="A90" s="25"/>
      <c r="B90" s="26"/>
      <c r="C90" s="26"/>
      <c r="D90" s="27"/>
      <c r="E90" s="26"/>
      <c r="F90" s="28"/>
      <c r="G90" s="29"/>
      <c r="H90" s="31"/>
      <c r="I90" s="31"/>
      <c r="J90" s="30"/>
      <c r="K90" s="31"/>
      <c r="L90" s="31"/>
      <c r="M90" s="31"/>
      <c r="N90" s="31"/>
      <c r="O90" s="31"/>
      <c r="P90" s="31"/>
      <c r="Q90" s="31"/>
      <c r="R90" s="31"/>
      <c r="S90" s="31"/>
      <c r="T90" s="32"/>
      <c r="U90" s="33"/>
      <c r="V90" s="31">
        <f ca="1">SUMIF($B$7:$B$136,'ขาด-ลา-มาสาย'!B91,'ขาด-ลา-มาสาย'!$K$8:$K$100)</f>
        <v>0</v>
      </c>
      <c r="W90" s="31">
        <f ca="1">SUMIF($B$7:$B$136,'ขาด-ลา-มาสาย'!B91,'ขาด-ลา-มาสาย'!$N$8:$N$100)</f>
        <v>0</v>
      </c>
      <c r="X90" s="31">
        <f ca="1">SUMIF($B$7:$B$136,'ขาด-ลา-มาสาย'!B91,'ขาด-ลา-มาสาย'!$Q$8:$Q$100)</f>
        <v>0</v>
      </c>
      <c r="Y90" s="31">
        <f ca="1">SUMIF($B$7:$B$136,'ขาด-ลา-มาสาย'!B91,'ขาด-ลา-มาสาย'!$T$8:$T$100)</f>
        <v>0</v>
      </c>
      <c r="Z90" s="31">
        <f ca="1">SUMIF($B$7:$B$136,'ขาด-ลา-มาสาย'!B91,'ขาด-ลา-มาสาย'!$W$8:$W$100)</f>
        <v>0</v>
      </c>
      <c r="AA90" s="32">
        <f t="shared" ca="1" si="39"/>
        <v>0</v>
      </c>
      <c r="AB90" s="33">
        <f t="shared" ca="1" si="40"/>
        <v>0</v>
      </c>
      <c r="AC90" s="31"/>
      <c r="AD90" s="31">
        <f t="shared" si="41"/>
        <v>0</v>
      </c>
      <c r="AE90" s="32">
        <f t="shared" ca="1" si="42"/>
        <v>0</v>
      </c>
      <c r="AF90" s="32"/>
      <c r="AG90" s="32">
        <f t="shared" ca="1" si="43"/>
        <v>0</v>
      </c>
      <c r="AH90" s="31"/>
      <c r="AI90" s="34"/>
      <c r="AJ90" s="35"/>
      <c r="AK90" s="36"/>
      <c r="AL90" s="37"/>
      <c r="AM90" s="38"/>
      <c r="AN90" s="38"/>
      <c r="AO90" s="38"/>
      <c r="AP90" s="39"/>
    </row>
    <row r="91" spans="1:42" s="40" customFormat="1">
      <c r="A91" s="25"/>
      <c r="B91" s="26"/>
      <c r="C91" s="26"/>
      <c r="D91" s="27"/>
      <c r="E91" s="26"/>
      <c r="F91" s="28"/>
      <c r="G91" s="29"/>
      <c r="H91" s="31"/>
      <c r="I91" s="31"/>
      <c r="J91" s="30"/>
      <c r="K91" s="31"/>
      <c r="L91" s="31"/>
      <c r="M91" s="31"/>
      <c r="N91" s="31"/>
      <c r="O91" s="31"/>
      <c r="P91" s="31"/>
      <c r="Q91" s="31"/>
      <c r="R91" s="31"/>
      <c r="S91" s="31"/>
      <c r="T91" s="32"/>
      <c r="U91" s="33"/>
      <c r="V91" s="31">
        <f ca="1">SUMIF($B$7:$B$136,'ขาด-ลา-มาสาย'!B92,'ขาด-ลา-มาสาย'!$K$8:$K$100)</f>
        <v>0</v>
      </c>
      <c r="W91" s="31">
        <f ca="1">SUMIF($B$7:$B$136,'ขาด-ลา-มาสาย'!B92,'ขาด-ลา-มาสาย'!$N$8:$N$100)</f>
        <v>0</v>
      </c>
      <c r="X91" s="31">
        <f ca="1">SUMIF($B$7:$B$136,'ขาด-ลา-มาสาย'!B92,'ขาด-ลา-มาสาย'!$Q$8:$Q$100)</f>
        <v>0</v>
      </c>
      <c r="Y91" s="31">
        <f ca="1">SUMIF($B$7:$B$136,'ขาด-ลา-มาสาย'!B92,'ขาด-ลา-มาสาย'!$T$8:$T$100)</f>
        <v>0</v>
      </c>
      <c r="Z91" s="31">
        <f ca="1">SUMIF($B$7:$B$136,'ขาด-ลา-มาสาย'!B92,'ขาด-ลา-มาสาย'!$W$8:$W$100)</f>
        <v>0</v>
      </c>
      <c r="AA91" s="32">
        <f t="shared" ca="1" si="39"/>
        <v>0</v>
      </c>
      <c r="AB91" s="33">
        <f t="shared" ca="1" si="40"/>
        <v>0</v>
      </c>
      <c r="AC91" s="31"/>
      <c r="AD91" s="31">
        <f t="shared" si="41"/>
        <v>0</v>
      </c>
      <c r="AE91" s="32">
        <f t="shared" ca="1" si="42"/>
        <v>0</v>
      </c>
      <c r="AF91" s="32"/>
      <c r="AG91" s="32">
        <f t="shared" ca="1" si="43"/>
        <v>0</v>
      </c>
      <c r="AH91" s="31"/>
      <c r="AI91" s="34"/>
      <c r="AJ91" s="35"/>
      <c r="AK91" s="36"/>
      <c r="AL91" s="37"/>
      <c r="AM91" s="38"/>
      <c r="AN91" s="38"/>
      <c r="AO91" s="38"/>
      <c r="AP91" s="39"/>
    </row>
    <row r="92" spans="1:42" s="40" customFormat="1">
      <c r="A92" s="25"/>
      <c r="B92" s="26"/>
      <c r="C92" s="26"/>
      <c r="D92" s="27"/>
      <c r="E92" s="26"/>
      <c r="F92" s="28"/>
      <c r="G92" s="29"/>
      <c r="H92" s="31"/>
      <c r="I92" s="31"/>
      <c r="J92" s="30"/>
      <c r="K92" s="31"/>
      <c r="L92" s="31"/>
      <c r="M92" s="31"/>
      <c r="N92" s="31"/>
      <c r="O92" s="31"/>
      <c r="P92" s="31"/>
      <c r="Q92" s="31"/>
      <c r="R92" s="31"/>
      <c r="S92" s="31"/>
      <c r="T92" s="32"/>
      <c r="U92" s="33"/>
      <c r="V92" s="31">
        <f ca="1">SUMIF($B$7:$B$136,'ขาด-ลา-มาสาย'!B93,'ขาด-ลา-มาสาย'!$K$8:$K$100)</f>
        <v>0</v>
      </c>
      <c r="W92" s="31">
        <f ca="1">SUMIF($B$7:$B$136,'ขาด-ลา-มาสาย'!B93,'ขาด-ลา-มาสาย'!$N$8:$N$100)</f>
        <v>0</v>
      </c>
      <c r="X92" s="31">
        <f ca="1">SUMIF($B$7:$B$136,'ขาด-ลา-มาสาย'!B93,'ขาด-ลา-มาสาย'!$Q$8:$Q$100)</f>
        <v>0</v>
      </c>
      <c r="Y92" s="31">
        <f ca="1">SUMIF($B$7:$B$136,'ขาด-ลา-มาสาย'!B93,'ขาด-ลา-มาสาย'!$T$8:$T$100)</f>
        <v>0</v>
      </c>
      <c r="Z92" s="31">
        <f ca="1">SUMIF($B$7:$B$136,'ขาด-ลา-มาสาย'!B93,'ขาด-ลา-มาสาย'!$W$8:$W$100)</f>
        <v>0</v>
      </c>
      <c r="AA92" s="32">
        <f t="shared" ca="1" si="39"/>
        <v>0</v>
      </c>
      <c r="AB92" s="33">
        <f t="shared" ca="1" si="40"/>
        <v>0</v>
      </c>
      <c r="AC92" s="31"/>
      <c r="AD92" s="31">
        <f t="shared" si="41"/>
        <v>0</v>
      </c>
      <c r="AE92" s="32">
        <f t="shared" ca="1" si="42"/>
        <v>0</v>
      </c>
      <c r="AF92" s="32"/>
      <c r="AG92" s="32">
        <f t="shared" ca="1" si="43"/>
        <v>0</v>
      </c>
      <c r="AH92" s="31"/>
      <c r="AI92" s="34"/>
      <c r="AJ92" s="35"/>
      <c r="AK92" s="36"/>
      <c r="AL92" s="37"/>
      <c r="AM92" s="38"/>
      <c r="AN92" s="38"/>
      <c r="AO92" s="38"/>
      <c r="AP92" s="39"/>
    </row>
    <row r="93" spans="1:42" s="40" customFormat="1">
      <c r="A93" s="25"/>
      <c r="B93" s="26"/>
      <c r="C93" s="26"/>
      <c r="D93" s="27"/>
      <c r="E93" s="26"/>
      <c r="F93" s="28"/>
      <c r="G93" s="29"/>
      <c r="H93" s="31"/>
      <c r="I93" s="31"/>
      <c r="J93" s="30"/>
      <c r="K93" s="31"/>
      <c r="L93" s="31"/>
      <c r="M93" s="31"/>
      <c r="N93" s="31"/>
      <c r="O93" s="31"/>
      <c r="P93" s="31"/>
      <c r="Q93" s="31"/>
      <c r="R93" s="31"/>
      <c r="S93" s="31"/>
      <c r="T93" s="32"/>
      <c r="U93" s="33"/>
      <c r="V93" s="31">
        <f ca="1">SUMIF($B$7:$B$136,'ขาด-ลา-มาสาย'!B94,'ขาด-ลา-มาสาย'!$K$8:$K$100)</f>
        <v>0</v>
      </c>
      <c r="W93" s="31">
        <f ca="1">SUMIF($B$7:$B$136,'ขาด-ลา-มาสาย'!B94,'ขาด-ลา-มาสาย'!$N$8:$N$100)</f>
        <v>0</v>
      </c>
      <c r="X93" s="31">
        <f ca="1">SUMIF($B$7:$B$136,'ขาด-ลา-มาสาย'!B94,'ขาด-ลา-มาสาย'!$Q$8:$Q$100)</f>
        <v>0</v>
      </c>
      <c r="Y93" s="31">
        <f ca="1">SUMIF($B$7:$B$136,'ขาด-ลา-มาสาย'!B94,'ขาด-ลา-มาสาย'!$T$8:$T$100)</f>
        <v>0</v>
      </c>
      <c r="Z93" s="31">
        <f ca="1">SUMIF($B$7:$B$136,'ขาด-ลา-มาสาย'!B94,'ขาด-ลา-มาสาย'!$W$8:$W$100)</f>
        <v>0</v>
      </c>
      <c r="AA93" s="32">
        <f t="shared" ca="1" si="39"/>
        <v>0</v>
      </c>
      <c r="AB93" s="33">
        <f t="shared" ca="1" si="40"/>
        <v>0</v>
      </c>
      <c r="AC93" s="31"/>
      <c r="AD93" s="31">
        <f t="shared" si="41"/>
        <v>0</v>
      </c>
      <c r="AE93" s="32">
        <f t="shared" ca="1" si="42"/>
        <v>0</v>
      </c>
      <c r="AF93" s="32"/>
      <c r="AG93" s="32">
        <f t="shared" ca="1" si="43"/>
        <v>0</v>
      </c>
      <c r="AH93" s="31"/>
      <c r="AI93" s="34"/>
      <c r="AJ93" s="35"/>
      <c r="AK93" s="36"/>
      <c r="AL93" s="37"/>
      <c r="AM93" s="38"/>
      <c r="AN93" s="38"/>
      <c r="AO93" s="38"/>
      <c r="AP93" s="39"/>
    </row>
    <row r="94" spans="1:42" s="40" customFormat="1">
      <c r="A94" s="25"/>
      <c r="B94" s="26"/>
      <c r="C94" s="26"/>
      <c r="D94" s="27"/>
      <c r="E94" s="26"/>
      <c r="F94" s="28"/>
      <c r="G94" s="29"/>
      <c r="H94" s="31"/>
      <c r="I94" s="31"/>
      <c r="J94" s="30"/>
      <c r="K94" s="31"/>
      <c r="L94" s="31"/>
      <c r="M94" s="31"/>
      <c r="N94" s="31"/>
      <c r="O94" s="31"/>
      <c r="P94" s="31"/>
      <c r="Q94" s="31"/>
      <c r="R94" s="31"/>
      <c r="S94" s="31"/>
      <c r="T94" s="32"/>
      <c r="U94" s="33"/>
      <c r="V94" s="31">
        <f ca="1">SUMIF($B$7:$B$136,'ขาด-ลา-มาสาย'!B95,'ขาด-ลา-มาสาย'!$K$8:$K$100)</f>
        <v>0</v>
      </c>
      <c r="W94" s="31">
        <f ca="1">SUMIF($B$7:$B$136,'ขาด-ลา-มาสาย'!B95,'ขาด-ลา-มาสาย'!$N$8:$N$100)</f>
        <v>0</v>
      </c>
      <c r="X94" s="31">
        <f ca="1">SUMIF($B$7:$B$136,'ขาด-ลา-มาสาย'!B95,'ขาด-ลา-มาสาย'!$Q$8:$Q$100)</f>
        <v>0</v>
      </c>
      <c r="Y94" s="31">
        <f ca="1">SUMIF($B$7:$B$136,'ขาด-ลา-มาสาย'!B95,'ขาด-ลา-มาสาย'!$T$8:$T$100)</f>
        <v>0</v>
      </c>
      <c r="Z94" s="31">
        <f ca="1">SUMIF($B$7:$B$136,'ขาด-ลา-มาสาย'!B95,'ขาด-ลา-มาสาย'!$W$8:$W$100)</f>
        <v>0</v>
      </c>
      <c r="AA94" s="32">
        <f t="shared" ca="1" si="39"/>
        <v>0</v>
      </c>
      <c r="AB94" s="33">
        <f t="shared" ca="1" si="40"/>
        <v>0</v>
      </c>
      <c r="AC94" s="31"/>
      <c r="AD94" s="31">
        <f t="shared" si="41"/>
        <v>0</v>
      </c>
      <c r="AE94" s="32">
        <f t="shared" ca="1" si="42"/>
        <v>0</v>
      </c>
      <c r="AF94" s="32"/>
      <c r="AG94" s="32">
        <f t="shared" ca="1" si="43"/>
        <v>0</v>
      </c>
      <c r="AH94" s="31"/>
      <c r="AI94" s="34"/>
      <c r="AJ94" s="35"/>
      <c r="AK94" s="36"/>
      <c r="AL94" s="37"/>
      <c r="AM94" s="38"/>
      <c r="AN94" s="38"/>
      <c r="AO94" s="38"/>
      <c r="AP94" s="39"/>
    </row>
    <row r="95" spans="1:42" s="40" customFormat="1">
      <c r="A95" s="25"/>
      <c r="B95" s="26"/>
      <c r="C95" s="26"/>
      <c r="D95" s="27"/>
      <c r="E95" s="26"/>
      <c r="F95" s="28"/>
      <c r="G95" s="29"/>
      <c r="H95" s="31"/>
      <c r="I95" s="31"/>
      <c r="J95" s="30"/>
      <c r="K95" s="31"/>
      <c r="L95" s="31"/>
      <c r="M95" s="31"/>
      <c r="N95" s="31"/>
      <c r="O95" s="31"/>
      <c r="P95" s="31"/>
      <c r="Q95" s="31"/>
      <c r="R95" s="31"/>
      <c r="S95" s="31"/>
      <c r="T95" s="32"/>
      <c r="U95" s="33"/>
      <c r="V95" s="31">
        <f ca="1">SUMIF($B$7:$B$136,'ขาด-ลา-มาสาย'!B96,'ขาด-ลา-มาสาย'!$K$8:$K$100)</f>
        <v>0</v>
      </c>
      <c r="W95" s="31">
        <f ca="1">SUMIF($B$7:$B$136,'ขาด-ลา-มาสาย'!B96,'ขาด-ลา-มาสาย'!$N$8:$N$100)</f>
        <v>0</v>
      </c>
      <c r="X95" s="31">
        <f ca="1">SUMIF($B$7:$B$136,'ขาด-ลา-มาสาย'!B96,'ขาด-ลา-มาสาย'!$Q$8:$Q$100)</f>
        <v>0</v>
      </c>
      <c r="Y95" s="31">
        <f ca="1">SUMIF($B$7:$B$136,'ขาด-ลา-มาสาย'!B96,'ขาด-ลา-มาสาย'!$T$8:$T$100)</f>
        <v>0</v>
      </c>
      <c r="Z95" s="31">
        <f ca="1">SUMIF($B$7:$B$136,'ขาด-ลา-มาสาย'!B96,'ขาด-ลา-มาสาย'!$W$8:$W$100)</f>
        <v>0</v>
      </c>
      <c r="AA95" s="32">
        <f t="shared" ca="1" si="39"/>
        <v>0</v>
      </c>
      <c r="AB95" s="33">
        <f t="shared" ca="1" si="40"/>
        <v>0</v>
      </c>
      <c r="AC95" s="31"/>
      <c r="AD95" s="31">
        <f t="shared" si="41"/>
        <v>0</v>
      </c>
      <c r="AE95" s="32">
        <f t="shared" ca="1" si="42"/>
        <v>0</v>
      </c>
      <c r="AF95" s="32"/>
      <c r="AG95" s="32">
        <f t="shared" ca="1" si="43"/>
        <v>0</v>
      </c>
      <c r="AH95" s="31"/>
      <c r="AI95" s="34"/>
      <c r="AJ95" s="35"/>
      <c r="AK95" s="36"/>
      <c r="AL95" s="37"/>
      <c r="AM95" s="38"/>
      <c r="AN95" s="38"/>
      <c r="AO95" s="38"/>
      <c r="AP95" s="39"/>
    </row>
    <row r="96" spans="1:42" s="40" customFormat="1">
      <c r="A96" s="25"/>
      <c r="B96" s="26"/>
      <c r="C96" s="26"/>
      <c r="D96" s="27"/>
      <c r="E96" s="26"/>
      <c r="F96" s="28"/>
      <c r="G96" s="29"/>
      <c r="H96" s="31"/>
      <c r="I96" s="31"/>
      <c r="J96" s="30"/>
      <c r="K96" s="31"/>
      <c r="L96" s="31"/>
      <c r="M96" s="31"/>
      <c r="N96" s="31"/>
      <c r="O96" s="31"/>
      <c r="P96" s="31"/>
      <c r="Q96" s="31"/>
      <c r="R96" s="31"/>
      <c r="S96" s="31"/>
      <c r="T96" s="32"/>
      <c r="U96" s="33"/>
      <c r="V96" s="31">
        <f ca="1">SUMIF($B$7:$B$136,'ขาด-ลา-มาสาย'!B97,'ขาด-ลา-มาสาย'!$K$8:$K$100)</f>
        <v>0</v>
      </c>
      <c r="W96" s="31">
        <f ca="1">SUMIF($B$7:$B$136,'ขาด-ลา-มาสาย'!B97,'ขาด-ลา-มาสาย'!$N$8:$N$100)</f>
        <v>0</v>
      </c>
      <c r="X96" s="31">
        <f ca="1">SUMIF($B$7:$B$136,'ขาด-ลา-มาสาย'!B97,'ขาด-ลา-มาสาย'!$Q$8:$Q$100)</f>
        <v>0</v>
      </c>
      <c r="Y96" s="31">
        <f ca="1">SUMIF($B$7:$B$136,'ขาด-ลา-มาสาย'!B97,'ขาด-ลา-มาสาย'!$T$8:$T$100)</f>
        <v>0</v>
      </c>
      <c r="Z96" s="31">
        <f ca="1">SUMIF($B$7:$B$136,'ขาด-ลา-มาสาย'!B97,'ขาด-ลา-มาสาย'!$W$8:$W$100)</f>
        <v>0</v>
      </c>
      <c r="AA96" s="32">
        <f t="shared" ca="1" si="39"/>
        <v>0</v>
      </c>
      <c r="AB96" s="33">
        <f t="shared" ca="1" si="40"/>
        <v>0</v>
      </c>
      <c r="AC96" s="31"/>
      <c r="AD96" s="31">
        <f t="shared" si="41"/>
        <v>0</v>
      </c>
      <c r="AE96" s="32">
        <f t="shared" ca="1" si="42"/>
        <v>0</v>
      </c>
      <c r="AF96" s="32"/>
      <c r="AG96" s="32">
        <f t="shared" ca="1" si="43"/>
        <v>0</v>
      </c>
      <c r="AH96" s="31"/>
      <c r="AI96" s="34"/>
      <c r="AJ96" s="35"/>
      <c r="AK96" s="36"/>
      <c r="AL96" s="37"/>
      <c r="AM96" s="38"/>
      <c r="AN96" s="38"/>
      <c r="AO96" s="38"/>
      <c r="AP96" s="39"/>
    </row>
    <row r="97" spans="1:42" s="40" customFormat="1">
      <c r="A97" s="25"/>
      <c r="B97" s="26"/>
      <c r="C97" s="26"/>
      <c r="D97" s="27"/>
      <c r="E97" s="26"/>
      <c r="F97" s="28"/>
      <c r="G97" s="29"/>
      <c r="H97" s="31"/>
      <c r="I97" s="31"/>
      <c r="J97" s="30"/>
      <c r="K97" s="31"/>
      <c r="L97" s="31"/>
      <c r="M97" s="31"/>
      <c r="N97" s="31"/>
      <c r="O97" s="31"/>
      <c r="P97" s="31"/>
      <c r="Q97" s="31"/>
      <c r="R97" s="31"/>
      <c r="S97" s="31"/>
      <c r="T97" s="32">
        <f>SUM(H97:S97)</f>
        <v>0</v>
      </c>
      <c r="U97" s="33"/>
      <c r="V97" s="31">
        <f ca="1">SUMIF($B$7:$B$136,'ขาด-ลา-มาสาย'!B98,'ขาด-ลา-มาสาย'!$K$8:$K$100)</f>
        <v>0</v>
      </c>
      <c r="W97" s="31">
        <f ca="1">SUMIF($B$7:$B$136,'ขาด-ลา-มาสาย'!B98,'ขาด-ลา-มาสาย'!$N$8:$N$100)</f>
        <v>0</v>
      </c>
      <c r="X97" s="31">
        <f ca="1">SUMIF($B$7:$B$136,'ขาด-ลา-มาสาย'!B98,'ขาด-ลา-มาสาย'!$Q$8:$Q$100)</f>
        <v>0</v>
      </c>
      <c r="Y97" s="31">
        <f ca="1">SUMIF($B$7:$B$136,'ขาด-ลา-มาสาย'!B98,'ขาด-ลา-มาสาย'!$T$8:$T$100)</f>
        <v>0</v>
      </c>
      <c r="Z97" s="31">
        <f ca="1">SUMIF($B$7:$B$136,'ขาด-ลา-มาสาย'!B98,'ขาด-ลา-มาสาย'!$W$8:$W$100)</f>
        <v>0</v>
      </c>
      <c r="AA97" s="32">
        <f t="shared" ca="1" si="39"/>
        <v>0</v>
      </c>
      <c r="AB97" s="33">
        <f t="shared" ca="1" si="40"/>
        <v>0</v>
      </c>
      <c r="AC97" s="31"/>
      <c r="AD97" s="31">
        <f t="shared" si="41"/>
        <v>0</v>
      </c>
      <c r="AE97" s="32">
        <f t="shared" ca="1" si="42"/>
        <v>0</v>
      </c>
      <c r="AF97" s="32"/>
      <c r="AG97" s="32">
        <f t="shared" ca="1" si="43"/>
        <v>0</v>
      </c>
      <c r="AH97" s="31"/>
      <c r="AI97" s="34">
        <v>0</v>
      </c>
      <c r="AJ97" s="35"/>
      <c r="AK97" s="36"/>
      <c r="AL97" s="37">
        <f>H97</f>
        <v>0</v>
      </c>
      <c r="AM97" s="38">
        <f ca="1">AA97</f>
        <v>0</v>
      </c>
      <c r="AN97" s="38">
        <f ca="1">AL97-AM97</f>
        <v>0</v>
      </c>
      <c r="AO97" s="38">
        <f>SUM(I97:S97)</f>
        <v>0</v>
      </c>
      <c r="AP97" s="39">
        <f ca="1">AE97</f>
        <v>0</v>
      </c>
    </row>
    <row r="98" spans="1:42" s="40" customFormat="1">
      <c r="A98" s="26"/>
      <c r="B98" s="26"/>
      <c r="C98" s="26"/>
      <c r="D98" s="27"/>
      <c r="E98" s="26"/>
      <c r="F98" s="28"/>
      <c r="G98" s="29"/>
      <c r="H98" s="31"/>
      <c r="I98" s="31"/>
      <c r="J98" s="30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29"/>
      <c r="V98" s="31"/>
      <c r="W98" s="31"/>
      <c r="X98" s="31"/>
      <c r="Y98" s="31"/>
      <c r="Z98" s="31"/>
      <c r="AA98" s="32"/>
      <c r="AB98" s="29"/>
      <c r="AC98" s="31"/>
      <c r="AD98" s="31"/>
      <c r="AE98" s="32"/>
      <c r="AF98" s="32"/>
      <c r="AG98" s="32"/>
      <c r="AH98" s="31"/>
      <c r="AI98" s="34"/>
      <c r="AJ98" s="35"/>
      <c r="AK98" s="36"/>
      <c r="AL98" s="36"/>
      <c r="AM98" s="36"/>
      <c r="AN98" s="36"/>
      <c r="AO98" s="36"/>
      <c r="AP98" s="50"/>
    </row>
    <row r="99" spans="1:42">
      <c r="A99" s="51"/>
      <c r="B99" s="51"/>
      <c r="C99" s="51" t="s">
        <v>234</v>
      </c>
      <c r="D99" s="52"/>
      <c r="E99" s="51"/>
      <c r="F99" s="51"/>
      <c r="G99" s="53">
        <f t="shared" ref="G99:AI99" si="51">SUBTOTAL(109,G7:G98)</f>
        <v>1898</v>
      </c>
      <c r="H99" s="54">
        <f t="shared" si="51"/>
        <v>425642429.648</v>
      </c>
      <c r="I99" s="54">
        <f t="shared" ca="1" si="51"/>
        <v>623329.32692307688</v>
      </c>
      <c r="J99" s="54">
        <f t="shared" ca="1" si="51"/>
        <v>3407674.7690923074</v>
      </c>
      <c r="K99" s="54">
        <f t="shared" si="51"/>
        <v>10054119.230769232</v>
      </c>
      <c r="L99" s="54">
        <f t="shared" si="51"/>
        <v>6584615.384615384</v>
      </c>
      <c r="M99" s="54">
        <f t="shared" si="51"/>
        <v>0</v>
      </c>
      <c r="N99" s="54">
        <f t="shared" si="51"/>
        <v>5580769.230769231</v>
      </c>
      <c r="O99" s="54">
        <f t="shared" si="51"/>
        <v>6516346.1538461549</v>
      </c>
      <c r="P99" s="54">
        <f t="shared" si="51"/>
        <v>6579807.692307693</v>
      </c>
      <c r="Q99" s="54">
        <f t="shared" si="51"/>
        <v>8119230.769230769</v>
      </c>
      <c r="R99" s="54">
        <f t="shared" si="51"/>
        <v>79754580</v>
      </c>
      <c r="S99" s="54">
        <f t="shared" si="51"/>
        <v>20061538.46153846</v>
      </c>
      <c r="T99" s="54">
        <f t="shared" ca="1" si="51"/>
        <v>572924440.66709197</v>
      </c>
      <c r="U99" s="54">
        <f t="shared" si="51"/>
        <v>1061500</v>
      </c>
      <c r="V99" s="54">
        <f t="shared" ca="1" si="51"/>
        <v>390000</v>
      </c>
      <c r="W99" s="54">
        <f t="shared" ca="1" si="51"/>
        <v>20000</v>
      </c>
      <c r="X99" s="54">
        <f t="shared" ca="1" si="51"/>
        <v>50000</v>
      </c>
      <c r="Y99" s="54">
        <f t="shared" ca="1" si="51"/>
        <v>6925031.692307693</v>
      </c>
      <c r="Z99" s="54">
        <f t="shared" ca="1" si="51"/>
        <v>11492307.692307694</v>
      </c>
      <c r="AA99" s="54">
        <f t="shared" ca="1" si="51"/>
        <v>19938839.384615388</v>
      </c>
      <c r="AB99" s="54">
        <f t="shared" ca="1" si="51"/>
        <v>552985601.28247666</v>
      </c>
      <c r="AC99" s="54">
        <f t="shared" ca="1" si="51"/>
        <v>538785601.28247666</v>
      </c>
      <c r="AD99" s="54">
        <f t="shared" ca="1" si="51"/>
        <v>26939280.06412385</v>
      </c>
      <c r="AE99" s="54">
        <f t="shared" ca="1" si="51"/>
        <v>526046321.21835321</v>
      </c>
      <c r="AF99" s="54">
        <f t="shared" si="51"/>
        <v>0</v>
      </c>
      <c r="AG99" s="54">
        <f t="shared" ca="1" si="51"/>
        <v>526046321.21835321</v>
      </c>
      <c r="AH99" s="54">
        <f t="shared" si="51"/>
        <v>0</v>
      </c>
      <c r="AI99" s="54">
        <f t="shared" ca="1" si="51"/>
        <v>750365.53883920691</v>
      </c>
      <c r="AJ99" s="55"/>
      <c r="AK99" s="56"/>
      <c r="AL99" s="57">
        <f>SUM(AL1:AL98)</f>
        <v>409642429.648</v>
      </c>
      <c r="AM99" s="57">
        <f ca="1">SUM(AM1:AM98)</f>
        <v>13649608.615384614</v>
      </c>
      <c r="AN99" s="57">
        <f ca="1">SUM(AN1:AN98)</f>
        <v>395992821.03261542</v>
      </c>
      <c r="AO99" s="57">
        <f ca="1">SUM(AO1:AO98)</f>
        <v>140693549.48063082</v>
      </c>
      <c r="AP99" s="58"/>
    </row>
    <row r="101" spans="1:42" ht="14.4">
      <c r="AD101" s="59">
        <v>330265700</v>
      </c>
      <c r="AE101" s="59">
        <f ca="1">+AE7/680.67</f>
        <v>95000</v>
      </c>
      <c r="AG101" s="60">
        <f ca="1">+AE7+AE8+AE9+AE10+AE19+AE22+AE77+AE78</f>
        <v>209705571.03846154</v>
      </c>
    </row>
    <row r="102" spans="1:42" ht="14.4">
      <c r="AD102" s="59">
        <v>3000000</v>
      </c>
      <c r="AE102" s="59">
        <f ca="1">+AE8/680.67</f>
        <v>19000</v>
      </c>
    </row>
    <row r="103" spans="1:42" ht="14.4">
      <c r="AD103" s="61">
        <f>SUM(AD101:AD102)</f>
        <v>333265700</v>
      </c>
      <c r="AE103" s="59">
        <f ca="1">+AE9/680.67</f>
        <v>95014.691406996048</v>
      </c>
      <c r="AG103" s="60">
        <f ca="1">+AE99-AG101</f>
        <v>316340750.17989171</v>
      </c>
    </row>
    <row r="104" spans="1:42" ht="14.4">
      <c r="AE104" s="59">
        <f ca="1">+AE10/680.67</f>
        <v>55118.208529830903</v>
      </c>
    </row>
    <row r="105" spans="1:42" ht="14.4">
      <c r="AD105" s="59">
        <f>+AD103/680.67</f>
        <v>489614.20365228382</v>
      </c>
      <c r="AE105" s="59">
        <f ca="1">+AE19/680.67</f>
        <v>14739.691406996049</v>
      </c>
    </row>
    <row r="106" spans="1:42" ht="14.4">
      <c r="AD106" s="62">
        <f>+AD103/21000</f>
        <v>15869.795238095237</v>
      </c>
      <c r="AE106" s="59">
        <f ca="1">+AE22/680.67</f>
        <v>14739.691406996049</v>
      </c>
    </row>
    <row r="107" spans="1:42" ht="14.4">
      <c r="AE107" s="59">
        <f ca="1">+AE77/680.67</f>
        <v>7614.6914069960485</v>
      </c>
    </row>
    <row r="108" spans="1:42" ht="14.4">
      <c r="AE108" s="59">
        <f ca="1">+AE78/680.67</f>
        <v>6860.0151886546173</v>
      </c>
    </row>
    <row r="109" spans="1:42" ht="14.4">
      <c r="AE109" s="63">
        <f ca="1">SUM(AE101:AE108)</f>
        <v>308086.98934646969</v>
      </c>
      <c r="AF109" s="62">
        <f ca="1">+AE109/31</f>
        <v>9938.2899789183775</v>
      </c>
    </row>
    <row r="111" spans="1:42" ht="14.4">
      <c r="AE111" s="64">
        <f ca="1">+AD106+AF109</f>
        <v>25808.085217013613</v>
      </c>
    </row>
    <row r="112" spans="1:42" ht="14.4">
      <c r="AE112" s="60">
        <f ca="1">+AD105+AE109</f>
        <v>797701.19299875351</v>
      </c>
    </row>
    <row r="138" spans="30:38" ht="27.75" customHeight="1"/>
    <row r="139" spans="30:38">
      <c r="AD139" s="6" t="s">
        <v>235</v>
      </c>
      <c r="AE139" s="6">
        <f>AE138</f>
        <v>0</v>
      </c>
    </row>
    <row r="140" spans="30:38">
      <c r="AE140" s="65" t="s">
        <v>236</v>
      </c>
      <c r="AF140" s="6">
        <f ca="1">AG7</f>
        <v>64663650</v>
      </c>
      <c r="AG140" s="6">
        <v>95000</v>
      </c>
      <c r="AH140" s="3"/>
    </row>
    <row r="141" spans="30:38">
      <c r="AE141" s="65" t="s">
        <v>237</v>
      </c>
      <c r="AF141" s="6">
        <f ca="1">AG9</f>
        <v>64673650</v>
      </c>
      <c r="AG141" s="6">
        <v>95014.6883858933</v>
      </c>
      <c r="AH141" s="3"/>
    </row>
    <row r="142" spans="30:38">
      <c r="AE142" s="65" t="s">
        <v>238</v>
      </c>
      <c r="AF142" s="6">
        <f ca="1">AG10</f>
        <v>37517311</v>
      </c>
      <c r="AG142" s="6">
        <v>55114.6883858933</v>
      </c>
      <c r="AH142" s="3"/>
    </row>
    <row r="143" spans="30:38">
      <c r="AE143" s="65" t="s">
        <v>239</v>
      </c>
      <c r="AF143" s="6">
        <f ca="1">AG8</f>
        <v>12932730</v>
      </c>
      <c r="AG143" s="6">
        <v>19000</v>
      </c>
      <c r="AH143" s="3"/>
      <c r="AK143" s="3">
        <v>1195.21962316239</v>
      </c>
      <c r="AL143" s="3" t="s">
        <v>240</v>
      </c>
    </row>
    <row r="144" spans="30:38">
      <c r="AE144" s="65" t="s">
        <v>241</v>
      </c>
      <c r="AF144" s="6">
        <f ca="1">AG22</f>
        <v>10032865.75</v>
      </c>
      <c r="AG144" s="6">
        <v>14731.685786049</v>
      </c>
      <c r="AH144" s="3"/>
    </row>
    <row r="145" spans="31:38">
      <c r="AE145" s="65" t="s">
        <v>242</v>
      </c>
      <c r="AF145" s="6">
        <f ca="1">AG19</f>
        <v>10032865.75</v>
      </c>
      <c r="AG145" s="6">
        <v>14731.685786049</v>
      </c>
      <c r="AH145" s="3"/>
    </row>
    <row r="146" spans="31:38">
      <c r="AE146" s="65" t="s">
        <v>243</v>
      </c>
      <c r="AF146" s="6">
        <f ca="1">AE56</f>
        <v>3001814.903846154</v>
      </c>
      <c r="AG146" s="6">
        <v>7614.6883858932797</v>
      </c>
      <c r="AH146" s="3"/>
    </row>
    <row r="147" spans="31:38">
      <c r="AE147" s="65" t="s">
        <v>231</v>
      </c>
      <c r="AF147" s="6">
        <f ca="1">AE97</f>
        <v>0</v>
      </c>
      <c r="AG147" s="6">
        <v>6328.5345397394303</v>
      </c>
      <c r="AH147" s="3"/>
    </row>
    <row r="148" spans="31:38">
      <c r="AE148" s="65" t="s">
        <v>244</v>
      </c>
      <c r="AF148" s="66">
        <f ca="1">SUBTOTAL(9,AF140:AF147)</f>
        <v>202854887.40384614</v>
      </c>
      <c r="AG148" s="6">
        <v>307535.97126951697</v>
      </c>
      <c r="AH148" s="3"/>
    </row>
    <row r="149" spans="31:38">
      <c r="AE149" s="65"/>
      <c r="AF149" s="6">
        <v>307346455.88976902</v>
      </c>
      <c r="AG149" s="6">
        <v>451687.81360556302</v>
      </c>
      <c r="AH149" s="3">
        <v>9920.51520224249</v>
      </c>
      <c r="AL149" s="8" t="s">
        <v>245</v>
      </c>
    </row>
    <row r="150" spans="31:38">
      <c r="AE150" s="65"/>
      <c r="AF150" s="6">
        <v>3000000</v>
      </c>
      <c r="AG150" s="6">
        <v>80009664.599999994</v>
      </c>
      <c r="AH150" s="3"/>
    </row>
    <row r="151" spans="31:38">
      <c r="AE151" s="65" t="s">
        <v>246</v>
      </c>
      <c r="AF151" s="6">
        <v>310346455.88976902</v>
      </c>
      <c r="AG151" s="6">
        <v>117661.27147058801</v>
      </c>
      <c r="AH151" s="3"/>
    </row>
    <row r="152" spans="31:38">
      <c r="AE152" s="65" t="s">
        <v>247</v>
      </c>
      <c r="AF152" s="6">
        <v>14778.4026614176</v>
      </c>
      <c r="AH152" s="3"/>
    </row>
    <row r="153" spans="31:38">
      <c r="AE153" s="65" t="s">
        <v>240</v>
      </c>
      <c r="AF153" s="6">
        <v>455848.85047189199</v>
      </c>
      <c r="AG153" s="6">
        <v>763384.82174140995</v>
      </c>
      <c r="AH153" s="3"/>
      <c r="AK153" s="3">
        <v>733184.82174140995</v>
      </c>
    </row>
    <row r="154" spans="31:38">
      <c r="AG154" s="6">
        <v>24625.316830368101</v>
      </c>
      <c r="AH154" s="3" t="s">
        <v>248</v>
      </c>
    </row>
    <row r="157" spans="31:38">
      <c r="AL157" s="3">
        <v>433361713</v>
      </c>
    </row>
    <row r="158" spans="31:38">
      <c r="AH158" s="6">
        <v>-1107544.11023104</v>
      </c>
    </row>
  </sheetData>
  <conditionalFormatting sqref="AK139:AK1048576 AK1:AK9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17"/>
  <sheetViews>
    <sheetView topLeftCell="C53" zoomScale="85" zoomScaleNormal="85" zoomScalePageLayoutView="85" workbookViewId="0">
      <selection activeCell="K80" sqref="K80"/>
    </sheetView>
  </sheetViews>
  <sheetFormatPr defaultColWidth="10" defaultRowHeight="14.4"/>
  <cols>
    <col min="1" max="1" width="11.33203125" customWidth="1"/>
    <col min="2" max="2" width="16.88671875" bestFit="1" customWidth="1"/>
    <col min="3" max="3" width="42.6640625" bestFit="1" customWidth="1"/>
    <col min="4" max="4" width="14.88671875" bestFit="1" customWidth="1"/>
    <col min="5" max="5" width="20.6640625" bestFit="1" customWidth="1"/>
    <col min="6" max="6" width="14" bestFit="1" customWidth="1"/>
    <col min="7" max="7" width="11.33203125" bestFit="1" customWidth="1"/>
    <col min="8" max="8" width="21.6640625" customWidth="1"/>
    <col min="9" max="9" width="16.109375" customWidth="1"/>
    <col min="10" max="10" width="15.5546875" bestFit="1" customWidth="1"/>
    <col min="11" max="11" width="10.44140625" customWidth="1"/>
    <col min="12" max="12" width="16.33203125" customWidth="1"/>
    <col min="13" max="13" width="15.5546875" bestFit="1" customWidth="1"/>
    <col min="14" max="14" width="8.6640625" bestFit="1" customWidth="1"/>
    <col min="15" max="15" width="12" customWidth="1"/>
    <col min="16" max="16" width="15.5546875" bestFit="1" customWidth="1"/>
    <col min="17" max="17" width="8.6640625" bestFit="1" customWidth="1"/>
    <col min="18" max="18" width="12.44140625" bestFit="1" customWidth="1"/>
    <col min="19" max="19" width="13.6640625" bestFit="1" customWidth="1"/>
    <col min="20" max="21" width="8.6640625" bestFit="1" customWidth="1"/>
    <col min="22" max="22" width="8.109375" bestFit="1" customWidth="1"/>
  </cols>
  <sheetData>
    <row r="1" spans="1:22" ht="17.399999999999999">
      <c r="A1" s="67"/>
      <c r="B1" s="68"/>
      <c r="C1" s="69"/>
      <c r="D1" s="69"/>
      <c r="E1" s="69"/>
      <c r="F1" s="70"/>
      <c r="G1" s="70"/>
      <c r="H1" s="71"/>
      <c r="I1" s="71"/>
      <c r="J1" s="71"/>
      <c r="K1" s="70"/>
      <c r="L1" s="2" t="s">
        <v>249</v>
      </c>
      <c r="M1" s="69"/>
      <c r="N1" s="70"/>
      <c r="Q1" s="67"/>
    </row>
    <row r="2" spans="1:22" ht="17.399999999999999">
      <c r="A2" s="67"/>
      <c r="B2" s="68"/>
      <c r="C2" s="69"/>
      <c r="D2" s="69"/>
      <c r="E2" s="69"/>
      <c r="F2" s="70"/>
      <c r="G2" s="70"/>
      <c r="H2" s="71"/>
      <c r="I2" s="71"/>
      <c r="J2" s="71"/>
      <c r="K2" s="70"/>
      <c r="L2" s="2" t="s">
        <v>250</v>
      </c>
      <c r="M2" s="69"/>
      <c r="N2" s="70"/>
      <c r="Q2" s="67"/>
    </row>
    <row r="3" spans="1:22" ht="15.6">
      <c r="A3" s="72" t="s">
        <v>251</v>
      </c>
      <c r="B3" s="68"/>
      <c r="C3" s="73"/>
      <c r="D3" s="73"/>
      <c r="E3" s="73"/>
      <c r="F3" s="74"/>
      <c r="G3" s="74"/>
      <c r="H3" s="75"/>
      <c r="I3" s="75"/>
      <c r="J3" s="75"/>
      <c r="K3" s="74"/>
      <c r="L3" s="76" t="s">
        <v>252</v>
      </c>
      <c r="M3" s="73"/>
      <c r="N3" s="74"/>
      <c r="Q3" s="67"/>
    </row>
    <row r="4" spans="1:22" ht="15.6">
      <c r="A4" s="72" t="s">
        <v>253</v>
      </c>
      <c r="B4" s="24"/>
      <c r="C4" s="40"/>
      <c r="D4" s="40"/>
      <c r="E4" s="40"/>
      <c r="F4" s="77"/>
      <c r="G4" s="77"/>
      <c r="H4" s="78"/>
      <c r="I4" s="6"/>
      <c r="J4" s="6"/>
      <c r="K4" s="79"/>
      <c r="N4" s="79"/>
      <c r="Q4" s="67"/>
    </row>
    <row r="5" spans="1:22" ht="21">
      <c r="A5" s="72" t="s">
        <v>254</v>
      </c>
      <c r="B5" s="80"/>
      <c r="C5" s="80"/>
      <c r="D5" s="80"/>
      <c r="E5" s="80"/>
      <c r="F5" s="81"/>
      <c r="G5" s="81"/>
      <c r="H5" s="82"/>
      <c r="I5" s="82"/>
      <c r="J5" s="82"/>
      <c r="K5" s="81"/>
      <c r="L5" s="83" t="s">
        <v>255</v>
      </c>
      <c r="M5" s="80"/>
      <c r="N5" s="81"/>
      <c r="O5" s="80"/>
      <c r="P5" s="80"/>
      <c r="Q5" s="84"/>
      <c r="R5" s="80"/>
      <c r="S5" s="80"/>
      <c r="T5" s="80"/>
      <c r="U5" s="80"/>
      <c r="V5" s="80"/>
    </row>
    <row r="6" spans="1:22" ht="21">
      <c r="A6" s="67"/>
      <c r="B6" s="85"/>
      <c r="C6" s="40"/>
      <c r="D6" s="40"/>
      <c r="E6" s="40"/>
      <c r="F6" s="77"/>
      <c r="G6" s="77"/>
      <c r="H6" s="78"/>
      <c r="I6" s="6"/>
      <c r="J6" s="6"/>
      <c r="K6" s="79"/>
      <c r="L6" s="86" t="s">
        <v>256</v>
      </c>
      <c r="N6" s="79"/>
      <c r="Q6" s="67"/>
    </row>
    <row r="7" spans="1:22" ht="46.8">
      <c r="A7" s="87" t="s">
        <v>257</v>
      </c>
      <c r="B7" s="88" t="s">
        <v>258</v>
      </c>
      <c r="C7" s="87" t="s">
        <v>259</v>
      </c>
      <c r="D7" s="89" t="s">
        <v>5</v>
      </c>
      <c r="E7" s="87" t="s">
        <v>260</v>
      </c>
      <c r="F7" s="87" t="s">
        <v>6</v>
      </c>
      <c r="G7" s="89" t="s">
        <v>7</v>
      </c>
      <c r="H7" s="90" t="s">
        <v>261</v>
      </c>
      <c r="I7" s="90" t="s">
        <v>262</v>
      </c>
      <c r="J7" s="90" t="s">
        <v>263</v>
      </c>
      <c r="K7" s="91" t="s">
        <v>264</v>
      </c>
      <c r="L7" s="91" t="s">
        <v>265</v>
      </c>
      <c r="M7" s="91" t="s">
        <v>266</v>
      </c>
      <c r="N7" s="91" t="s">
        <v>264</v>
      </c>
      <c r="O7" s="91" t="s">
        <v>265</v>
      </c>
      <c r="P7" s="91" t="s">
        <v>267</v>
      </c>
      <c r="Q7" s="91" t="s">
        <v>268</v>
      </c>
      <c r="R7" s="91" t="s">
        <v>265</v>
      </c>
      <c r="S7" s="91" t="s">
        <v>269</v>
      </c>
      <c r="T7" s="91" t="s">
        <v>270</v>
      </c>
      <c r="U7" s="91" t="s">
        <v>271</v>
      </c>
      <c r="V7" s="91" t="s">
        <v>272</v>
      </c>
    </row>
    <row r="8" spans="1:22">
      <c r="A8" s="92">
        <v>1</v>
      </c>
      <c r="B8" s="93" t="str">
        <f t="array" ref="B8:H80">_xlfn._xlws.FILTER(TAX!$B$7:$H$98,TAX!H7:H98,TAX!$F$7:$F$98)</f>
        <v>MYL000001</v>
      </c>
      <c r="C8" s="94" t="str">
        <v>MR PHICHAI EIAMWATTANASILP</v>
      </c>
      <c r="D8" s="94" t="str">
        <v>66617893562</v>
      </c>
      <c r="E8" s="94" t="str">
        <v>Director</v>
      </c>
      <c r="F8" s="95" t="str">
        <v>ຕ່າງປະເທດ</v>
      </c>
      <c r="G8" s="96">
        <v>26</v>
      </c>
      <c r="H8" s="97">
        <v>68067000</v>
      </c>
      <c r="I8" s="98">
        <f t="shared" ref="I8:I39" si="0">H8/G8/8</f>
        <v>327245.19230769231</v>
      </c>
      <c r="J8" s="97">
        <f t="shared" ref="J8:J39" si="1">I8*1.5</f>
        <v>490867.7884615385</v>
      </c>
      <c r="K8" s="92"/>
      <c r="L8" s="99">
        <f t="shared" ref="L8:L39" si="2">J8*K8</f>
        <v>0</v>
      </c>
      <c r="M8" s="100">
        <f t="shared" ref="M8:M39" si="3">I8*2</f>
        <v>654490.38461538462</v>
      </c>
      <c r="N8" s="92"/>
      <c r="O8" s="99">
        <f t="shared" ref="O8:O39" si="4">M8*N8</f>
        <v>0</v>
      </c>
      <c r="P8" s="100">
        <f t="shared" ref="P8:P39" si="5">I8*2.5</f>
        <v>818112.98076923075</v>
      </c>
      <c r="Q8" s="92"/>
      <c r="R8" s="99">
        <f t="shared" ref="R8:R39" si="6">P8*Q8</f>
        <v>0</v>
      </c>
      <c r="S8" s="99">
        <f t="shared" ref="S8:S39" si="7">L8+O8+R8</f>
        <v>0</v>
      </c>
      <c r="T8" s="101"/>
      <c r="U8" s="101"/>
      <c r="V8" s="101"/>
    </row>
    <row r="9" spans="1:22">
      <c r="A9" s="102">
        <v>2</v>
      </c>
      <c r="B9" s="103" t="str">
        <v>MYL000005</v>
      </c>
      <c r="C9" s="104" t="str">
        <v>MR WEERASIT LEEGCHOUR</v>
      </c>
      <c r="D9" s="104">
        <v>2098388245</v>
      </c>
      <c r="E9" s="104" t="str">
        <v>Deputy director 04</v>
      </c>
      <c r="F9" s="105" t="str">
        <v>ຕ່າງປະເທດ</v>
      </c>
      <c r="G9" s="106">
        <v>26</v>
      </c>
      <c r="H9" s="97">
        <v>13613400</v>
      </c>
      <c r="I9" s="98">
        <f t="shared" si="0"/>
        <v>65449.038461538461</v>
      </c>
      <c r="J9" s="107">
        <f t="shared" si="1"/>
        <v>98173.557692307688</v>
      </c>
      <c r="K9" s="102"/>
      <c r="L9" s="99">
        <f t="shared" si="2"/>
        <v>0</v>
      </c>
      <c r="M9" s="108">
        <f t="shared" si="3"/>
        <v>130898.07692307692</v>
      </c>
      <c r="N9" s="102"/>
      <c r="O9" s="99">
        <f t="shared" si="4"/>
        <v>0</v>
      </c>
      <c r="P9" s="108">
        <f t="shared" si="5"/>
        <v>163622.59615384616</v>
      </c>
      <c r="Q9" s="102"/>
      <c r="R9" s="99">
        <f t="shared" si="6"/>
        <v>0</v>
      </c>
      <c r="S9" s="99">
        <f t="shared" si="7"/>
        <v>0</v>
      </c>
      <c r="T9" s="109"/>
      <c r="U9" s="109"/>
      <c r="V9" s="109"/>
    </row>
    <row r="10" spans="1:22">
      <c r="A10" s="102">
        <v>3</v>
      </c>
      <c r="B10" s="103" t="str">
        <v>MYL000002</v>
      </c>
      <c r="C10" s="104" t="str">
        <v>MRS Boualavanh BANPHACHA</v>
      </c>
      <c r="D10" s="104">
        <v>2023333500</v>
      </c>
      <c r="E10" s="104" t="str">
        <v>Deputy director 01</v>
      </c>
      <c r="F10" s="105" t="str">
        <v>ພາຍໃນປະເທດ</v>
      </c>
      <c r="G10" s="106">
        <v>26</v>
      </c>
      <c r="H10" s="97">
        <v>68067000</v>
      </c>
      <c r="I10" s="98">
        <f t="shared" si="0"/>
        <v>327245.19230769231</v>
      </c>
      <c r="J10" s="107">
        <f t="shared" si="1"/>
        <v>490867.7884615385</v>
      </c>
      <c r="K10" s="102"/>
      <c r="L10" s="99">
        <f t="shared" si="2"/>
        <v>0</v>
      </c>
      <c r="M10" s="108">
        <f t="shared" si="3"/>
        <v>654490.38461538462</v>
      </c>
      <c r="N10" s="102"/>
      <c r="O10" s="99">
        <f t="shared" si="4"/>
        <v>0</v>
      </c>
      <c r="P10" s="108">
        <f t="shared" si="5"/>
        <v>818112.98076923075</v>
      </c>
      <c r="Q10" s="102"/>
      <c r="R10" s="99">
        <f t="shared" si="6"/>
        <v>0</v>
      </c>
      <c r="S10" s="99">
        <f t="shared" si="7"/>
        <v>0</v>
      </c>
      <c r="T10" s="109"/>
      <c r="U10" s="109"/>
      <c r="V10" s="109"/>
    </row>
    <row r="11" spans="1:22">
      <c r="A11" s="102">
        <v>4</v>
      </c>
      <c r="B11" s="109" t="str">
        <v>MYL000003</v>
      </c>
      <c r="C11" s="104" t="str">
        <v>MRS DATSANY BANPHAXA</v>
      </c>
      <c r="D11" s="104">
        <v>2023333800</v>
      </c>
      <c r="E11" s="104" t="str">
        <v>Deputy director 02</v>
      </c>
      <c r="F11" s="105" t="str">
        <v>ພາຍໃນປະເທດ</v>
      </c>
      <c r="G11" s="106">
        <v>26</v>
      </c>
      <c r="H11" s="97">
        <v>27226800</v>
      </c>
      <c r="I11" s="98">
        <f t="shared" si="0"/>
        <v>130898.07692307692</v>
      </c>
      <c r="J11" s="107">
        <f t="shared" si="1"/>
        <v>196347.11538461538</v>
      </c>
      <c r="K11" s="102"/>
      <c r="L11" s="99">
        <f t="shared" si="2"/>
        <v>0</v>
      </c>
      <c r="M11" s="108">
        <f t="shared" si="3"/>
        <v>261796.15384615384</v>
      </c>
      <c r="N11" s="102"/>
      <c r="O11" s="99">
        <f t="shared" si="4"/>
        <v>0</v>
      </c>
      <c r="P11" s="108">
        <f t="shared" si="5"/>
        <v>327245.19230769231</v>
      </c>
      <c r="Q11" s="102"/>
      <c r="R11" s="99">
        <f t="shared" si="6"/>
        <v>0</v>
      </c>
      <c r="S11" s="99">
        <f t="shared" si="7"/>
        <v>0</v>
      </c>
      <c r="T11" s="109"/>
      <c r="U11" s="109"/>
      <c r="V11" s="109"/>
    </row>
    <row r="12" spans="1:22">
      <c r="A12" s="102">
        <v>5</v>
      </c>
      <c r="B12" s="109" t="str">
        <v>MYL000004</v>
      </c>
      <c r="C12" s="104" t="str">
        <v>MISS BOUAVONE VANGVONGXAI</v>
      </c>
      <c r="D12" s="104">
        <v>2076198111</v>
      </c>
      <c r="E12" s="104" t="str">
        <v>Deputy director 03</v>
      </c>
      <c r="F12" s="105" t="str">
        <v>ພາຍໃນປະເທດ</v>
      </c>
      <c r="G12" s="106">
        <v>26</v>
      </c>
      <c r="H12" s="97">
        <v>13000000</v>
      </c>
      <c r="I12" s="98">
        <f t="shared" si="0"/>
        <v>62500</v>
      </c>
      <c r="J12" s="107">
        <f t="shared" si="1"/>
        <v>93750</v>
      </c>
      <c r="K12" s="102"/>
      <c r="L12" s="99">
        <f t="shared" si="2"/>
        <v>0</v>
      </c>
      <c r="M12" s="108">
        <f t="shared" si="3"/>
        <v>125000</v>
      </c>
      <c r="N12" s="102"/>
      <c r="O12" s="99">
        <f t="shared" si="4"/>
        <v>0</v>
      </c>
      <c r="P12" s="108">
        <f t="shared" si="5"/>
        <v>156250</v>
      </c>
      <c r="Q12" s="102"/>
      <c r="R12" s="99">
        <f t="shared" si="6"/>
        <v>0</v>
      </c>
      <c r="S12" s="99">
        <f t="shared" si="7"/>
        <v>0</v>
      </c>
      <c r="T12" s="109"/>
      <c r="U12" s="109"/>
      <c r="V12" s="109"/>
    </row>
    <row r="13" spans="1:22">
      <c r="A13" s="102">
        <v>6</v>
      </c>
      <c r="B13" s="109" t="str">
        <v>MYL202210001</v>
      </c>
      <c r="C13" s="104" t="str">
        <v>MR ANOUSACK THAMMAVONG</v>
      </c>
      <c r="D13" s="104">
        <v>2077772708</v>
      </c>
      <c r="E13" s="104" t="str">
        <v>Accounting</v>
      </c>
      <c r="F13" s="105" t="str">
        <v>ພາຍໃນປະເທດ</v>
      </c>
      <c r="G13" s="106">
        <v>26</v>
      </c>
      <c r="H13" s="97">
        <v>10000000</v>
      </c>
      <c r="I13" s="98">
        <f t="shared" si="0"/>
        <v>48076.923076923078</v>
      </c>
      <c r="J13" s="107">
        <f t="shared" si="1"/>
        <v>72115.384615384624</v>
      </c>
      <c r="K13" s="102"/>
      <c r="L13" s="99">
        <f t="shared" si="2"/>
        <v>0</v>
      </c>
      <c r="M13" s="108">
        <f t="shared" si="3"/>
        <v>96153.846153846156</v>
      </c>
      <c r="N13" s="102"/>
      <c r="O13" s="99">
        <f t="shared" si="4"/>
        <v>0</v>
      </c>
      <c r="P13" s="108">
        <f t="shared" si="5"/>
        <v>120192.30769230769</v>
      </c>
      <c r="Q13" s="102"/>
      <c r="R13" s="99">
        <f t="shared" si="6"/>
        <v>0</v>
      </c>
      <c r="S13" s="99">
        <f t="shared" si="7"/>
        <v>0</v>
      </c>
      <c r="T13" s="109"/>
      <c r="U13" s="109"/>
      <c r="V13" s="109"/>
    </row>
    <row r="14" spans="1:22">
      <c r="A14" s="102">
        <v>7</v>
      </c>
      <c r="B14" s="109" t="str">
        <v>MYL202001001</v>
      </c>
      <c r="C14" s="104" t="str">
        <v>MR SONESAVANH PHENGPHINIT</v>
      </c>
      <c r="D14" s="104" t="str">
        <v>02092539860</v>
      </c>
      <c r="E14" s="104" t="str">
        <v>Accounting</v>
      </c>
      <c r="F14" s="105" t="str">
        <v>ພາຍໃນປະເທດ</v>
      </c>
      <c r="G14" s="106">
        <v>26</v>
      </c>
      <c r="H14" s="97">
        <v>6832000</v>
      </c>
      <c r="I14" s="98">
        <f t="shared" si="0"/>
        <v>32846.153846153844</v>
      </c>
      <c r="J14" s="107">
        <f t="shared" si="1"/>
        <v>49269.230769230766</v>
      </c>
      <c r="K14" s="102"/>
      <c r="L14" s="99">
        <f t="shared" si="2"/>
        <v>0</v>
      </c>
      <c r="M14" s="108">
        <f t="shared" si="3"/>
        <v>65692.307692307688</v>
      </c>
      <c r="N14" s="102"/>
      <c r="O14" s="99">
        <f t="shared" si="4"/>
        <v>0</v>
      </c>
      <c r="P14" s="108">
        <f t="shared" si="5"/>
        <v>82115.38461538461</v>
      </c>
      <c r="Q14" s="102"/>
      <c r="R14" s="99">
        <f t="shared" si="6"/>
        <v>0</v>
      </c>
      <c r="S14" s="99">
        <f t="shared" si="7"/>
        <v>0</v>
      </c>
      <c r="T14" s="109"/>
      <c r="U14" s="109"/>
      <c r="V14" s="109"/>
    </row>
    <row r="15" spans="1:22">
      <c r="A15" s="102">
        <v>8</v>
      </c>
      <c r="B15" s="109" t="str">
        <v>MYL202408005</v>
      </c>
      <c r="C15" s="104" t="str">
        <v>MISS CHANSAMONE PHANTHALAVONG</v>
      </c>
      <c r="D15" s="104">
        <v>2099701293</v>
      </c>
      <c r="E15" s="104" t="str">
        <v>Planning</v>
      </c>
      <c r="F15" s="105" t="str">
        <v>ພາຍໃນປະເທດ</v>
      </c>
      <c r="G15" s="106">
        <v>26</v>
      </c>
      <c r="H15" s="97">
        <v>6000000</v>
      </c>
      <c r="I15" s="98">
        <f t="shared" si="0"/>
        <v>28846.153846153848</v>
      </c>
      <c r="J15" s="107">
        <f t="shared" si="1"/>
        <v>43269.230769230773</v>
      </c>
      <c r="K15" s="102"/>
      <c r="L15" s="99">
        <f t="shared" si="2"/>
        <v>0</v>
      </c>
      <c r="M15" s="108">
        <f t="shared" si="3"/>
        <v>57692.307692307695</v>
      </c>
      <c r="N15" s="102"/>
      <c r="O15" s="99">
        <f t="shared" si="4"/>
        <v>0</v>
      </c>
      <c r="P15" s="108">
        <f t="shared" si="5"/>
        <v>72115.384615384624</v>
      </c>
      <c r="Q15" s="102"/>
      <c r="R15" s="99">
        <f t="shared" si="6"/>
        <v>0</v>
      </c>
      <c r="S15" s="99">
        <f t="shared" si="7"/>
        <v>0</v>
      </c>
      <c r="T15" s="109"/>
      <c r="U15" s="109"/>
      <c r="V15" s="109"/>
    </row>
    <row r="16" spans="1:22">
      <c r="A16" s="102">
        <v>9</v>
      </c>
      <c r="B16" s="109" t="str">
        <v>MYT202602136</v>
      </c>
      <c r="C16" s="104" t="str">
        <v>MRS BOUANGUEN SOMCHANMAVONG</v>
      </c>
      <c r="D16" s="104">
        <v>2056516668</v>
      </c>
      <c r="E16" s="104" t="str">
        <v>Planning</v>
      </c>
      <c r="F16" s="105" t="str">
        <v>ພາຍໃນປະເທດ</v>
      </c>
      <c r="G16" s="106">
        <v>26</v>
      </c>
      <c r="H16" s="97">
        <v>4500000</v>
      </c>
      <c r="I16" s="98">
        <f t="shared" si="0"/>
        <v>21634.615384615383</v>
      </c>
      <c r="J16" s="107">
        <f t="shared" si="1"/>
        <v>32451.923076923074</v>
      </c>
      <c r="K16" s="102"/>
      <c r="L16" s="99">
        <f t="shared" si="2"/>
        <v>0</v>
      </c>
      <c r="M16" s="108">
        <f t="shared" si="3"/>
        <v>43269.230769230766</v>
      </c>
      <c r="N16" s="102"/>
      <c r="O16" s="99">
        <f t="shared" si="4"/>
        <v>0</v>
      </c>
      <c r="P16" s="108">
        <f t="shared" si="5"/>
        <v>54086.538461538454</v>
      </c>
      <c r="Q16" s="102"/>
      <c r="R16" s="99">
        <f t="shared" si="6"/>
        <v>0</v>
      </c>
      <c r="S16" s="99">
        <f t="shared" si="7"/>
        <v>0</v>
      </c>
      <c r="T16" s="109"/>
      <c r="U16" s="109"/>
      <c r="V16" s="109"/>
    </row>
    <row r="17" spans="1:22">
      <c r="A17" s="102">
        <v>10</v>
      </c>
      <c r="B17" s="109" t="str">
        <v>MYL202606153</v>
      </c>
      <c r="C17" s="104" t="str">
        <v>MR SEUAPA XAIYAVONG</v>
      </c>
      <c r="D17" s="104">
        <v>2078150776</v>
      </c>
      <c r="E17" s="104" t="str">
        <v>Planning</v>
      </c>
      <c r="F17" s="105" t="str">
        <v>ພາຍໃນປະເທດ</v>
      </c>
      <c r="G17" s="106">
        <v>26</v>
      </c>
      <c r="H17" s="97">
        <v>3500000</v>
      </c>
      <c r="I17" s="98">
        <f t="shared" si="0"/>
        <v>16826.923076923078</v>
      </c>
      <c r="J17" s="107">
        <f t="shared" si="1"/>
        <v>25240.384615384617</v>
      </c>
      <c r="K17" s="102"/>
      <c r="L17" s="99">
        <f t="shared" si="2"/>
        <v>0</v>
      </c>
      <c r="M17" s="108">
        <f t="shared" si="3"/>
        <v>33653.846153846156</v>
      </c>
      <c r="N17" s="102"/>
      <c r="O17" s="99">
        <f t="shared" si="4"/>
        <v>0</v>
      </c>
      <c r="P17" s="108">
        <f t="shared" si="5"/>
        <v>42067.307692307695</v>
      </c>
      <c r="Q17" s="102"/>
      <c r="R17" s="99">
        <f t="shared" si="6"/>
        <v>0</v>
      </c>
      <c r="S17" s="99">
        <f t="shared" si="7"/>
        <v>0</v>
      </c>
      <c r="T17" s="109"/>
      <c r="U17" s="109"/>
      <c r="V17" s="109"/>
    </row>
    <row r="18" spans="1:22">
      <c r="A18" s="102">
        <v>11</v>
      </c>
      <c r="B18" s="109" t="str">
        <v>MYL202604144</v>
      </c>
      <c r="C18" s="104" t="str">
        <v>MISS PHOSEE KIANGLANOUSIN</v>
      </c>
      <c r="D18" s="104">
        <v>2076861520</v>
      </c>
      <c r="E18" s="104" t="str">
        <v>OFFICE</v>
      </c>
      <c r="F18" s="105" t="str">
        <v>ພາຍໃນປະເທດ</v>
      </c>
      <c r="G18" s="106">
        <v>26</v>
      </c>
      <c r="H18" s="97">
        <v>3500000</v>
      </c>
      <c r="I18" s="98">
        <f t="shared" si="0"/>
        <v>16826.923076923078</v>
      </c>
      <c r="J18" s="107">
        <f t="shared" si="1"/>
        <v>25240.384615384617</v>
      </c>
      <c r="K18" s="102"/>
      <c r="L18" s="99">
        <f t="shared" si="2"/>
        <v>0</v>
      </c>
      <c r="M18" s="108">
        <f t="shared" si="3"/>
        <v>33653.846153846156</v>
      </c>
      <c r="N18" s="102"/>
      <c r="O18" s="99">
        <f t="shared" si="4"/>
        <v>0</v>
      </c>
      <c r="P18" s="108">
        <f t="shared" si="5"/>
        <v>42067.307692307695</v>
      </c>
      <c r="Q18" s="102"/>
      <c r="R18" s="99">
        <f t="shared" si="6"/>
        <v>0</v>
      </c>
      <c r="S18" s="99">
        <f t="shared" si="7"/>
        <v>0</v>
      </c>
      <c r="T18" s="109"/>
      <c r="U18" s="109"/>
      <c r="V18" s="109"/>
    </row>
    <row r="19" spans="1:22">
      <c r="A19" s="102">
        <v>12</v>
      </c>
      <c r="B19" s="109" t="str">
        <v>MYL201908010</v>
      </c>
      <c r="C19" s="104" t="str">
        <v>MR SAYSAMPHAN  MANEEBOTH</v>
      </c>
      <c r="D19" s="104">
        <v>2097545680</v>
      </c>
      <c r="E19" s="104" t="str">
        <v>Logistic Staff</v>
      </c>
      <c r="F19" s="105" t="str">
        <v>ພາຍໃນປະເທດ</v>
      </c>
      <c r="G19" s="106">
        <v>26</v>
      </c>
      <c r="H19" s="97">
        <v>5000000</v>
      </c>
      <c r="I19" s="98">
        <f t="shared" si="0"/>
        <v>24038.461538461539</v>
      </c>
      <c r="J19" s="107">
        <f t="shared" si="1"/>
        <v>36057.692307692312</v>
      </c>
      <c r="K19" s="102"/>
      <c r="L19" s="99">
        <f t="shared" si="2"/>
        <v>0</v>
      </c>
      <c r="M19" s="108">
        <f t="shared" si="3"/>
        <v>48076.923076923078</v>
      </c>
      <c r="N19" s="102"/>
      <c r="O19" s="99">
        <f t="shared" si="4"/>
        <v>0</v>
      </c>
      <c r="P19" s="108">
        <f t="shared" si="5"/>
        <v>60096.153846153844</v>
      </c>
      <c r="Q19" s="102"/>
      <c r="R19" s="99">
        <f t="shared" si="6"/>
        <v>0</v>
      </c>
      <c r="S19" s="99">
        <f t="shared" si="7"/>
        <v>0</v>
      </c>
      <c r="T19" s="109"/>
      <c r="U19" s="109"/>
      <c r="V19" s="109"/>
    </row>
    <row r="20" spans="1:22">
      <c r="A20" s="102">
        <v>13</v>
      </c>
      <c r="B20" s="109" t="str">
        <v>MYL202001036</v>
      </c>
      <c r="C20" s="104" t="str">
        <v>MISS JINDA BANPHACHA</v>
      </c>
      <c r="D20" s="104">
        <v>2092416077</v>
      </c>
      <c r="E20" s="104" t="str">
        <v>Audit</v>
      </c>
      <c r="F20" s="105" t="str">
        <v>ພາຍໃນປະເທດ</v>
      </c>
      <c r="G20" s="106">
        <v>26</v>
      </c>
      <c r="H20" s="97">
        <v>10550385</v>
      </c>
      <c r="I20" s="98">
        <f t="shared" si="0"/>
        <v>50723.004807692305</v>
      </c>
      <c r="J20" s="107">
        <f t="shared" si="1"/>
        <v>76084.507211538454</v>
      </c>
      <c r="K20" s="102"/>
      <c r="L20" s="99">
        <f t="shared" si="2"/>
        <v>0</v>
      </c>
      <c r="M20" s="108">
        <f t="shared" si="3"/>
        <v>101446.00961538461</v>
      </c>
      <c r="N20" s="102"/>
      <c r="O20" s="99">
        <f t="shared" si="4"/>
        <v>0</v>
      </c>
      <c r="P20" s="108">
        <f t="shared" si="5"/>
        <v>126807.51201923077</v>
      </c>
      <c r="Q20" s="102"/>
      <c r="R20" s="99">
        <f t="shared" si="6"/>
        <v>0</v>
      </c>
      <c r="S20" s="99">
        <f t="shared" si="7"/>
        <v>0</v>
      </c>
      <c r="T20" s="109"/>
      <c r="U20" s="109"/>
      <c r="V20" s="109"/>
    </row>
    <row r="21" spans="1:22">
      <c r="A21" s="102">
        <v>14</v>
      </c>
      <c r="B21" s="109" t="str">
        <v>MYL201908016</v>
      </c>
      <c r="C21" s="104" t="str">
        <v>MR AMMALIN</v>
      </c>
      <c r="D21" s="104">
        <v>2023332299</v>
      </c>
      <c r="E21" s="104" t="str">
        <v>Production manager 02</v>
      </c>
      <c r="F21" s="105" t="str">
        <v>ພາຍໃນປະເທດ</v>
      </c>
      <c r="G21" s="106">
        <v>26</v>
      </c>
      <c r="H21" s="97">
        <v>5000000</v>
      </c>
      <c r="I21" s="98">
        <f t="shared" si="0"/>
        <v>24038.461538461539</v>
      </c>
      <c r="J21" s="107">
        <f t="shared" si="1"/>
        <v>36057.692307692312</v>
      </c>
      <c r="K21" s="102"/>
      <c r="L21" s="99">
        <f t="shared" si="2"/>
        <v>0</v>
      </c>
      <c r="M21" s="108">
        <f t="shared" si="3"/>
        <v>48076.923076923078</v>
      </c>
      <c r="N21" s="102"/>
      <c r="O21" s="99">
        <f t="shared" si="4"/>
        <v>0</v>
      </c>
      <c r="P21" s="108">
        <f t="shared" si="5"/>
        <v>60096.153846153844</v>
      </c>
      <c r="Q21" s="102"/>
      <c r="R21" s="99">
        <f t="shared" si="6"/>
        <v>0</v>
      </c>
      <c r="S21" s="99">
        <f t="shared" si="7"/>
        <v>0</v>
      </c>
      <c r="T21" s="109"/>
      <c r="U21" s="109"/>
      <c r="V21" s="109"/>
    </row>
    <row r="22" spans="1:22">
      <c r="A22" s="102">
        <v>15</v>
      </c>
      <c r="B22" s="109" t="str">
        <v>MYL202001049</v>
      </c>
      <c r="C22" s="104" t="str">
        <v>MR BOUNPON</v>
      </c>
      <c r="D22" s="104">
        <v>2078916853</v>
      </c>
      <c r="E22" s="104" t="str">
        <v>Production manager 02</v>
      </c>
      <c r="F22" s="105" t="str">
        <v>ພາຍໃນປະເທດ</v>
      </c>
      <c r="G22" s="106">
        <v>26</v>
      </c>
      <c r="H22" s="97">
        <v>4000000</v>
      </c>
      <c r="I22" s="98">
        <f t="shared" si="0"/>
        <v>19230.76923076923</v>
      </c>
      <c r="J22" s="107">
        <f t="shared" si="1"/>
        <v>28846.153846153844</v>
      </c>
      <c r="K22" s="102"/>
      <c r="L22" s="99">
        <f t="shared" si="2"/>
        <v>0</v>
      </c>
      <c r="M22" s="108">
        <f t="shared" si="3"/>
        <v>38461.538461538461</v>
      </c>
      <c r="N22" s="102"/>
      <c r="O22" s="99">
        <f t="shared" si="4"/>
        <v>0</v>
      </c>
      <c r="P22" s="108">
        <f t="shared" si="5"/>
        <v>48076.923076923078</v>
      </c>
      <c r="Q22" s="102"/>
      <c r="R22" s="99">
        <f t="shared" si="6"/>
        <v>0</v>
      </c>
      <c r="S22" s="99">
        <f t="shared" si="7"/>
        <v>0</v>
      </c>
      <c r="T22" s="109"/>
      <c r="U22" s="109"/>
      <c r="V22" s="109"/>
    </row>
    <row r="23" spans="1:22">
      <c r="A23" s="102">
        <v>16</v>
      </c>
      <c r="B23" s="109" t="str">
        <v>MYL000009</v>
      </c>
      <c r="C23" s="104" t="str">
        <v>MR SONE</v>
      </c>
      <c r="D23" s="104">
        <v>0</v>
      </c>
      <c r="E23" s="104" t="str">
        <v>Security Staff</v>
      </c>
      <c r="F23" s="105" t="str">
        <v>ພາຍໃນປະເທດ</v>
      </c>
      <c r="G23" s="106">
        <v>26</v>
      </c>
      <c r="H23" s="97">
        <v>10550385</v>
      </c>
      <c r="I23" s="98">
        <f t="shared" si="0"/>
        <v>50723.004807692305</v>
      </c>
      <c r="J23" s="107">
        <f t="shared" si="1"/>
        <v>76084.507211538454</v>
      </c>
      <c r="K23" s="102"/>
      <c r="L23" s="99">
        <f t="shared" si="2"/>
        <v>0</v>
      </c>
      <c r="M23" s="108">
        <f t="shared" si="3"/>
        <v>101446.00961538461</v>
      </c>
      <c r="N23" s="102"/>
      <c r="O23" s="99">
        <f t="shared" si="4"/>
        <v>0</v>
      </c>
      <c r="P23" s="108">
        <f t="shared" si="5"/>
        <v>126807.51201923077</v>
      </c>
      <c r="Q23" s="102"/>
      <c r="R23" s="99">
        <f t="shared" si="6"/>
        <v>0</v>
      </c>
      <c r="S23" s="99">
        <f t="shared" si="7"/>
        <v>0</v>
      </c>
      <c r="T23" s="109"/>
      <c r="U23" s="109"/>
      <c r="V23" s="109"/>
    </row>
    <row r="24" spans="1:22">
      <c r="A24" s="102">
        <v>17</v>
      </c>
      <c r="B24" s="109" t="str">
        <v>MYL202401027</v>
      </c>
      <c r="C24" s="104" t="str">
        <v>MRS NIK CHANTHANET</v>
      </c>
      <c r="D24" s="104">
        <v>2056339678</v>
      </c>
      <c r="E24" s="104" t="str">
        <v>Maid Staff</v>
      </c>
      <c r="F24" s="105" t="str">
        <v>ພາຍໃນປະເທດ</v>
      </c>
      <c r="G24" s="106">
        <v>26</v>
      </c>
      <c r="H24" s="97">
        <v>2702000</v>
      </c>
      <c r="I24" s="98">
        <f t="shared" si="0"/>
        <v>12990.384615384615</v>
      </c>
      <c r="J24" s="107">
        <f t="shared" si="1"/>
        <v>19485.576923076922</v>
      </c>
      <c r="K24" s="102"/>
      <c r="L24" s="99">
        <f t="shared" si="2"/>
        <v>0</v>
      </c>
      <c r="M24" s="108">
        <f t="shared" si="3"/>
        <v>25980.76923076923</v>
      </c>
      <c r="N24" s="102"/>
      <c r="O24" s="99">
        <f t="shared" si="4"/>
        <v>0</v>
      </c>
      <c r="P24" s="108">
        <f t="shared" si="5"/>
        <v>32475.961538461539</v>
      </c>
      <c r="Q24" s="102"/>
      <c r="R24" s="99">
        <f t="shared" si="6"/>
        <v>0</v>
      </c>
      <c r="S24" s="99">
        <f t="shared" si="7"/>
        <v>0</v>
      </c>
      <c r="T24" s="109"/>
      <c r="U24" s="109"/>
      <c r="V24" s="109"/>
    </row>
    <row r="25" spans="1:22">
      <c r="A25" s="102">
        <v>18</v>
      </c>
      <c r="B25" s="109" t="str">
        <v>MYL201908028</v>
      </c>
      <c r="C25" s="104" t="str">
        <v>MR TERY KHAMKOUNA</v>
      </c>
      <c r="D25" s="104" t="str">
        <v>02059103026</v>
      </c>
      <c r="E25" s="104" t="str">
        <v>Engineering</v>
      </c>
      <c r="F25" s="105" t="str">
        <v>ພາຍໃນປະເທດ</v>
      </c>
      <c r="G25" s="106">
        <v>26</v>
      </c>
      <c r="H25" s="97">
        <v>5000000</v>
      </c>
      <c r="I25" s="98">
        <f t="shared" si="0"/>
        <v>24038.461538461539</v>
      </c>
      <c r="J25" s="107">
        <f t="shared" si="1"/>
        <v>36057.692307692312</v>
      </c>
      <c r="K25" s="102"/>
      <c r="L25" s="99">
        <f t="shared" si="2"/>
        <v>0</v>
      </c>
      <c r="M25" s="108">
        <f t="shared" si="3"/>
        <v>48076.923076923078</v>
      </c>
      <c r="N25" s="102"/>
      <c r="O25" s="99">
        <f t="shared" si="4"/>
        <v>0</v>
      </c>
      <c r="P25" s="108">
        <f t="shared" si="5"/>
        <v>60096.153846153844</v>
      </c>
      <c r="Q25" s="102"/>
      <c r="R25" s="99">
        <f t="shared" si="6"/>
        <v>0</v>
      </c>
      <c r="S25" s="99">
        <f t="shared" si="7"/>
        <v>0</v>
      </c>
      <c r="T25" s="109"/>
      <c r="U25" s="109"/>
      <c r="V25" s="109"/>
    </row>
    <row r="26" spans="1:22">
      <c r="A26" s="102">
        <v>19</v>
      </c>
      <c r="B26" s="109" t="str">
        <v>MYL202507076</v>
      </c>
      <c r="C26" s="104" t="str">
        <v>MR XAYSONGKHAM SOMSANITH</v>
      </c>
      <c r="D26" s="104">
        <v>2056211706</v>
      </c>
      <c r="E26" s="104" t="str">
        <v>Engineering</v>
      </c>
      <c r="F26" s="105" t="str">
        <v>ພາຍໃນປະເທດ</v>
      </c>
      <c r="G26" s="106">
        <v>26</v>
      </c>
      <c r="H26" s="97">
        <v>4500000</v>
      </c>
      <c r="I26" s="98">
        <f t="shared" si="0"/>
        <v>21634.615384615383</v>
      </c>
      <c r="J26" s="107">
        <f t="shared" si="1"/>
        <v>32451.923076923074</v>
      </c>
      <c r="K26" s="102"/>
      <c r="L26" s="99">
        <f t="shared" si="2"/>
        <v>0</v>
      </c>
      <c r="M26" s="108">
        <f t="shared" si="3"/>
        <v>43269.230769230766</v>
      </c>
      <c r="N26" s="102"/>
      <c r="O26" s="99">
        <f t="shared" si="4"/>
        <v>0</v>
      </c>
      <c r="P26" s="108">
        <f t="shared" si="5"/>
        <v>54086.538461538454</v>
      </c>
      <c r="Q26" s="102"/>
      <c r="R26" s="99">
        <f t="shared" si="6"/>
        <v>0</v>
      </c>
      <c r="S26" s="99">
        <f t="shared" si="7"/>
        <v>0</v>
      </c>
      <c r="T26" s="109"/>
      <c r="U26" s="109"/>
      <c r="V26" s="109"/>
    </row>
    <row r="27" spans="1:22">
      <c r="A27" s="102">
        <v>20</v>
      </c>
      <c r="B27" s="109" t="str">
        <v>MYL201908026</v>
      </c>
      <c r="C27" s="104" t="str">
        <v>MR SONGKAN PHACHANSITTHI</v>
      </c>
      <c r="D27" s="104">
        <v>2054612045</v>
      </c>
      <c r="E27" s="104" t="str">
        <v>QC Manager 02</v>
      </c>
      <c r="F27" s="105" t="str">
        <v>ພາຍໃນປະເທດ</v>
      </c>
      <c r="G27" s="106">
        <v>26</v>
      </c>
      <c r="H27" s="97">
        <v>4000000</v>
      </c>
      <c r="I27" s="98">
        <f t="shared" si="0"/>
        <v>19230.76923076923</v>
      </c>
      <c r="J27" s="107">
        <f t="shared" si="1"/>
        <v>28846.153846153844</v>
      </c>
      <c r="K27" s="102"/>
      <c r="L27" s="99">
        <f t="shared" si="2"/>
        <v>0</v>
      </c>
      <c r="M27" s="108">
        <f t="shared" si="3"/>
        <v>38461.538461538461</v>
      </c>
      <c r="N27" s="102"/>
      <c r="O27" s="99">
        <f t="shared" si="4"/>
        <v>0</v>
      </c>
      <c r="P27" s="108">
        <f t="shared" si="5"/>
        <v>48076.923076923078</v>
      </c>
      <c r="Q27" s="102"/>
      <c r="R27" s="99">
        <f t="shared" si="6"/>
        <v>0</v>
      </c>
      <c r="S27" s="99">
        <f t="shared" si="7"/>
        <v>0</v>
      </c>
      <c r="T27" s="109"/>
      <c r="U27" s="109"/>
      <c r="V27" s="109"/>
    </row>
    <row r="28" spans="1:22">
      <c r="A28" s="102">
        <v>21</v>
      </c>
      <c r="B28" s="109" t="str">
        <v>MYL202504064</v>
      </c>
      <c r="C28" s="104" t="str">
        <v>MISS NALIN SYHALATH</v>
      </c>
      <c r="D28" s="104">
        <v>2098953256</v>
      </c>
      <c r="E28" s="104" t="str">
        <v>QC PTS</v>
      </c>
      <c r="F28" s="105" t="str">
        <v>ພາຍໃນປະເທດ</v>
      </c>
      <c r="G28" s="106">
        <v>26</v>
      </c>
      <c r="H28" s="97">
        <v>2600000</v>
      </c>
      <c r="I28" s="98">
        <f t="shared" si="0"/>
        <v>12500</v>
      </c>
      <c r="J28" s="107">
        <f t="shared" si="1"/>
        <v>18750</v>
      </c>
      <c r="K28" s="102"/>
      <c r="L28" s="99">
        <f t="shared" si="2"/>
        <v>0</v>
      </c>
      <c r="M28" s="108">
        <f t="shared" si="3"/>
        <v>25000</v>
      </c>
      <c r="N28" s="102"/>
      <c r="O28" s="99">
        <f t="shared" si="4"/>
        <v>0</v>
      </c>
      <c r="P28" s="108">
        <f t="shared" si="5"/>
        <v>31250</v>
      </c>
      <c r="Q28" s="102"/>
      <c r="R28" s="99">
        <f t="shared" si="6"/>
        <v>0</v>
      </c>
      <c r="S28" s="99">
        <f t="shared" si="7"/>
        <v>0</v>
      </c>
      <c r="T28" s="109"/>
      <c r="U28" s="109"/>
      <c r="V28" s="109"/>
    </row>
    <row r="29" spans="1:22">
      <c r="A29" s="102">
        <v>22</v>
      </c>
      <c r="B29" s="109" t="str">
        <v>MYL202606160</v>
      </c>
      <c r="C29" s="104" t="str">
        <v>MISS LAMPHAI THUMMAVONGE</v>
      </c>
      <c r="D29" s="104">
        <v>2091381527</v>
      </c>
      <c r="E29" s="104" t="str">
        <v>QC SAS</v>
      </c>
      <c r="F29" s="105" t="str">
        <v>ພາຍໃນປະເທດ</v>
      </c>
      <c r="G29" s="106">
        <v>26</v>
      </c>
      <c r="H29" s="97">
        <v>2500000</v>
      </c>
      <c r="I29" s="98">
        <f t="shared" si="0"/>
        <v>12019.23076923077</v>
      </c>
      <c r="J29" s="107">
        <f t="shared" si="1"/>
        <v>18028.846153846156</v>
      </c>
      <c r="K29" s="102"/>
      <c r="L29" s="99">
        <f t="shared" si="2"/>
        <v>0</v>
      </c>
      <c r="M29" s="108">
        <f t="shared" si="3"/>
        <v>24038.461538461539</v>
      </c>
      <c r="N29" s="102"/>
      <c r="O29" s="99">
        <f t="shared" si="4"/>
        <v>0</v>
      </c>
      <c r="P29" s="108">
        <f t="shared" si="5"/>
        <v>30048.076923076922</v>
      </c>
      <c r="Q29" s="102"/>
      <c r="R29" s="99">
        <f t="shared" si="6"/>
        <v>0</v>
      </c>
      <c r="S29" s="99">
        <f t="shared" si="7"/>
        <v>0</v>
      </c>
      <c r="T29" s="109"/>
      <c r="U29" s="109"/>
      <c r="V29" s="109"/>
    </row>
    <row r="30" spans="1:22">
      <c r="A30" s="102">
        <v>23</v>
      </c>
      <c r="B30" s="109" t="str">
        <v>MYL202301037</v>
      </c>
      <c r="C30" s="104" t="str">
        <v>MRS PHOULATSAMY SETTHATHILATH</v>
      </c>
      <c r="D30" s="104">
        <v>2077074510</v>
      </c>
      <c r="E30" s="104" t="str">
        <v>STORE PTS</v>
      </c>
      <c r="F30" s="105" t="str">
        <v>ພາຍໃນປະເທດ</v>
      </c>
      <c r="G30" s="106">
        <v>26</v>
      </c>
      <c r="H30" s="97">
        <v>3300000</v>
      </c>
      <c r="I30" s="98">
        <f t="shared" si="0"/>
        <v>15865.384615384615</v>
      </c>
      <c r="J30" s="107">
        <f t="shared" si="1"/>
        <v>23798.076923076922</v>
      </c>
      <c r="K30" s="102"/>
      <c r="L30" s="99">
        <f t="shared" si="2"/>
        <v>0</v>
      </c>
      <c r="M30" s="108">
        <f t="shared" si="3"/>
        <v>31730.76923076923</v>
      </c>
      <c r="N30" s="102"/>
      <c r="O30" s="99">
        <f t="shared" si="4"/>
        <v>0</v>
      </c>
      <c r="P30" s="108">
        <f t="shared" si="5"/>
        <v>39663.461538461539</v>
      </c>
      <c r="Q30" s="102"/>
      <c r="R30" s="99">
        <f t="shared" si="6"/>
        <v>0</v>
      </c>
      <c r="S30" s="99">
        <f t="shared" si="7"/>
        <v>0</v>
      </c>
      <c r="T30" s="109"/>
      <c r="U30" s="109"/>
      <c r="V30" s="109"/>
    </row>
    <row r="31" spans="1:22">
      <c r="A31" s="102">
        <v>24</v>
      </c>
      <c r="B31" s="109" t="str">
        <v>MYT202602133</v>
      </c>
      <c r="C31" s="104" t="str">
        <v>MR BOUNTHAVY KOMKAIYASONE</v>
      </c>
      <c r="D31" s="104">
        <v>2097221714</v>
      </c>
      <c r="E31" s="104" t="str">
        <v>STORE PTS</v>
      </c>
      <c r="F31" s="105" t="str">
        <v>ພາຍໃນປະເທດ</v>
      </c>
      <c r="G31" s="106">
        <v>26</v>
      </c>
      <c r="H31" s="97">
        <v>2600000</v>
      </c>
      <c r="I31" s="98">
        <f t="shared" si="0"/>
        <v>12500</v>
      </c>
      <c r="J31" s="107">
        <f t="shared" si="1"/>
        <v>18750</v>
      </c>
      <c r="K31" s="102"/>
      <c r="L31" s="99">
        <f t="shared" si="2"/>
        <v>0</v>
      </c>
      <c r="M31" s="108">
        <f t="shared" si="3"/>
        <v>25000</v>
      </c>
      <c r="N31" s="102"/>
      <c r="O31" s="99">
        <f t="shared" si="4"/>
        <v>0</v>
      </c>
      <c r="P31" s="108">
        <f t="shared" si="5"/>
        <v>31250</v>
      </c>
      <c r="Q31" s="102"/>
      <c r="R31" s="99">
        <f t="shared" si="6"/>
        <v>0</v>
      </c>
      <c r="S31" s="99">
        <f t="shared" si="7"/>
        <v>0</v>
      </c>
      <c r="T31" s="109"/>
      <c r="U31" s="109"/>
      <c r="V31" s="109"/>
    </row>
    <row r="32" spans="1:22">
      <c r="A32" s="102">
        <v>25</v>
      </c>
      <c r="B32" s="109" t="str">
        <v>MYL202404006</v>
      </c>
      <c r="C32" s="104" t="str">
        <v>MR SENGMANY PHATTHANA</v>
      </c>
      <c r="D32" s="104">
        <v>2059597282</v>
      </c>
      <c r="E32" s="104" t="str">
        <v>STORE OTS</v>
      </c>
      <c r="F32" s="105" t="str">
        <v>ພາຍໃນປະເທດ</v>
      </c>
      <c r="G32" s="106">
        <v>26</v>
      </c>
      <c r="H32" s="97">
        <v>3300000</v>
      </c>
      <c r="I32" s="98">
        <f t="shared" si="0"/>
        <v>15865.384615384615</v>
      </c>
      <c r="J32" s="107">
        <f t="shared" si="1"/>
        <v>23798.076923076922</v>
      </c>
      <c r="K32" s="102">
        <v>1</v>
      </c>
      <c r="L32" s="99">
        <f t="shared" si="2"/>
        <v>23798.076923076922</v>
      </c>
      <c r="M32" s="108">
        <f t="shared" si="3"/>
        <v>31730.76923076923</v>
      </c>
      <c r="N32" s="102"/>
      <c r="O32" s="99">
        <f t="shared" si="4"/>
        <v>0</v>
      </c>
      <c r="P32" s="108">
        <f t="shared" si="5"/>
        <v>39663.461538461539</v>
      </c>
      <c r="Q32" s="102"/>
      <c r="R32" s="99">
        <f t="shared" si="6"/>
        <v>0</v>
      </c>
      <c r="S32" s="99">
        <f t="shared" si="7"/>
        <v>23798.076923076922</v>
      </c>
      <c r="T32" s="109"/>
      <c r="U32" s="109"/>
      <c r="V32" s="109"/>
    </row>
    <row r="33" spans="1:22">
      <c r="A33" s="102">
        <v>26</v>
      </c>
      <c r="B33" s="109" t="str">
        <v>MYL202601128</v>
      </c>
      <c r="C33" s="104" t="str">
        <v>MR KHAMPHASITH XAYYAJACK</v>
      </c>
      <c r="D33" s="104">
        <v>2077412771</v>
      </c>
      <c r="E33" s="104" t="str">
        <v>STORE OTS</v>
      </c>
      <c r="F33" s="105" t="str">
        <v>ພາຍໃນປະເທດ</v>
      </c>
      <c r="G33" s="106">
        <v>26</v>
      </c>
      <c r="H33" s="97">
        <v>2600000</v>
      </c>
      <c r="I33" s="98">
        <f t="shared" si="0"/>
        <v>12500</v>
      </c>
      <c r="J33" s="107">
        <f t="shared" si="1"/>
        <v>18750</v>
      </c>
      <c r="K33" s="102">
        <v>2</v>
      </c>
      <c r="L33" s="99">
        <f t="shared" si="2"/>
        <v>37500</v>
      </c>
      <c r="M33" s="108">
        <f t="shared" si="3"/>
        <v>25000</v>
      </c>
      <c r="N33" s="102"/>
      <c r="O33" s="99">
        <f t="shared" si="4"/>
        <v>0</v>
      </c>
      <c r="P33" s="108">
        <f t="shared" si="5"/>
        <v>31250</v>
      </c>
      <c r="Q33" s="102"/>
      <c r="R33" s="99">
        <f t="shared" si="6"/>
        <v>0</v>
      </c>
      <c r="S33" s="99">
        <f t="shared" si="7"/>
        <v>37500</v>
      </c>
      <c r="T33" s="109"/>
      <c r="U33" s="109"/>
      <c r="V33" s="109"/>
    </row>
    <row r="34" spans="1:22">
      <c r="A34" s="102">
        <v>27</v>
      </c>
      <c r="B34" s="109" t="str">
        <v>MYL202606162</v>
      </c>
      <c r="C34" s="104" t="str">
        <v>MISS KHONESAVANH CHANTHALAY</v>
      </c>
      <c r="D34" s="104">
        <v>2096532048</v>
      </c>
      <c r="E34" s="104" t="str">
        <v>STORE OTS</v>
      </c>
      <c r="F34" s="105" t="str">
        <v>ພາຍໃນປະເທດ</v>
      </c>
      <c r="G34" s="106">
        <v>26</v>
      </c>
      <c r="H34" s="97">
        <v>2500000</v>
      </c>
      <c r="I34" s="98">
        <f t="shared" si="0"/>
        <v>12019.23076923077</v>
      </c>
      <c r="J34" s="107">
        <f t="shared" si="1"/>
        <v>18028.846153846156</v>
      </c>
      <c r="K34" s="102"/>
      <c r="L34" s="99">
        <f t="shared" si="2"/>
        <v>0</v>
      </c>
      <c r="M34" s="108">
        <f t="shared" si="3"/>
        <v>24038.461538461539</v>
      </c>
      <c r="N34" s="102"/>
      <c r="O34" s="99">
        <f t="shared" si="4"/>
        <v>0</v>
      </c>
      <c r="P34" s="108">
        <f t="shared" si="5"/>
        <v>30048.076923076922</v>
      </c>
      <c r="Q34" s="102"/>
      <c r="R34" s="99">
        <f t="shared" si="6"/>
        <v>0</v>
      </c>
      <c r="S34" s="99">
        <f t="shared" si="7"/>
        <v>0</v>
      </c>
      <c r="T34" s="109"/>
      <c r="U34" s="109"/>
      <c r="V34" s="109"/>
    </row>
    <row r="35" spans="1:22">
      <c r="A35" s="102">
        <v>28</v>
      </c>
      <c r="B35" s="109" t="str">
        <v>MYL202001035</v>
      </c>
      <c r="C35" s="104" t="str">
        <v>MRS TOUKTA  PONGSIMMALY</v>
      </c>
      <c r="D35" s="104">
        <v>2057706864</v>
      </c>
      <c r="E35" s="104" t="str">
        <v>STORE SAS</v>
      </c>
      <c r="F35" s="105" t="str">
        <v>ພາຍໃນປະເທດ</v>
      </c>
      <c r="G35" s="106">
        <v>26</v>
      </c>
      <c r="H35" s="97">
        <v>3300000</v>
      </c>
      <c r="I35" s="98">
        <f t="shared" si="0"/>
        <v>15865.384615384615</v>
      </c>
      <c r="J35" s="107">
        <f t="shared" si="1"/>
        <v>23798.076923076922</v>
      </c>
      <c r="K35" s="102">
        <v>1</v>
      </c>
      <c r="L35" s="99">
        <f t="shared" si="2"/>
        <v>23798.076923076922</v>
      </c>
      <c r="M35" s="108">
        <f t="shared" si="3"/>
        <v>31730.76923076923</v>
      </c>
      <c r="N35" s="102"/>
      <c r="O35" s="99">
        <f t="shared" si="4"/>
        <v>0</v>
      </c>
      <c r="P35" s="108">
        <f t="shared" si="5"/>
        <v>39663.461538461539</v>
      </c>
      <c r="Q35" s="102"/>
      <c r="R35" s="99">
        <f t="shared" si="6"/>
        <v>0</v>
      </c>
      <c r="S35" s="99">
        <f t="shared" si="7"/>
        <v>23798.076923076922</v>
      </c>
      <c r="T35" s="109"/>
      <c r="U35" s="109"/>
      <c r="V35" s="109"/>
    </row>
    <row r="36" spans="1:22">
      <c r="A36" s="102">
        <v>29</v>
      </c>
      <c r="B36" s="109" t="str">
        <v>MYL202605151</v>
      </c>
      <c r="C36" s="104" t="str">
        <v>MR SOULIYA</v>
      </c>
      <c r="D36" s="104">
        <v>2099427578</v>
      </c>
      <c r="E36" s="104" t="str">
        <v>STORE SAS</v>
      </c>
      <c r="F36" s="105" t="str">
        <v>ພາຍໃນປະເທດ</v>
      </c>
      <c r="G36" s="106">
        <v>26</v>
      </c>
      <c r="H36" s="97">
        <v>2600000</v>
      </c>
      <c r="I36" s="98">
        <f t="shared" si="0"/>
        <v>12500</v>
      </c>
      <c r="J36" s="107">
        <f t="shared" si="1"/>
        <v>18750</v>
      </c>
      <c r="K36" s="102"/>
      <c r="L36" s="99">
        <f t="shared" si="2"/>
        <v>0</v>
      </c>
      <c r="M36" s="108">
        <f t="shared" si="3"/>
        <v>25000</v>
      </c>
      <c r="N36" s="102"/>
      <c r="O36" s="99">
        <f t="shared" si="4"/>
        <v>0</v>
      </c>
      <c r="P36" s="108">
        <f t="shared" si="5"/>
        <v>31250</v>
      </c>
      <c r="Q36" s="102"/>
      <c r="R36" s="99">
        <f t="shared" si="6"/>
        <v>0</v>
      </c>
      <c r="S36" s="99">
        <f t="shared" si="7"/>
        <v>0</v>
      </c>
      <c r="T36" s="109"/>
      <c r="U36" s="109"/>
      <c r="V36" s="109"/>
    </row>
    <row r="37" spans="1:22">
      <c r="A37" s="102">
        <v>30</v>
      </c>
      <c r="B37" s="109" t="str">
        <v>MYL202201050</v>
      </c>
      <c r="C37" s="104" t="str">
        <v>MR TOUTONNAM KHOUNSAVANH</v>
      </c>
      <c r="D37" s="104">
        <v>2093949318</v>
      </c>
      <c r="E37" s="104" t="str">
        <v>Welding  PTS</v>
      </c>
      <c r="F37" s="105" t="str">
        <v>ພາຍໃນປະເທດ</v>
      </c>
      <c r="G37" s="106">
        <v>26</v>
      </c>
      <c r="H37" s="97">
        <v>3300000</v>
      </c>
      <c r="I37" s="98">
        <f t="shared" si="0"/>
        <v>15865.384615384615</v>
      </c>
      <c r="J37" s="107">
        <f t="shared" si="1"/>
        <v>23798.076923076922</v>
      </c>
      <c r="K37" s="102"/>
      <c r="L37" s="99">
        <f t="shared" si="2"/>
        <v>0</v>
      </c>
      <c r="M37" s="108">
        <f t="shared" si="3"/>
        <v>31730.76923076923</v>
      </c>
      <c r="N37" s="102"/>
      <c r="O37" s="99">
        <f t="shared" si="4"/>
        <v>0</v>
      </c>
      <c r="P37" s="108">
        <f t="shared" si="5"/>
        <v>39663.461538461539</v>
      </c>
      <c r="Q37" s="102"/>
      <c r="R37" s="99">
        <f t="shared" si="6"/>
        <v>0</v>
      </c>
      <c r="S37" s="99">
        <f t="shared" si="7"/>
        <v>0</v>
      </c>
      <c r="T37" s="109"/>
      <c r="U37" s="109"/>
      <c r="V37" s="109"/>
    </row>
    <row r="38" spans="1:22">
      <c r="A38" s="102">
        <v>31</v>
      </c>
      <c r="B38" s="109" t="str">
        <v>MYL202502061</v>
      </c>
      <c r="C38" s="104" t="str">
        <v>MR KHONESAVANH SYTHAVONG</v>
      </c>
      <c r="D38" s="104">
        <v>2096870409</v>
      </c>
      <c r="E38" s="104" t="str">
        <v>Welding  PTS</v>
      </c>
      <c r="F38" s="105" t="str">
        <v>ພາຍໃນປະເທດ</v>
      </c>
      <c r="G38" s="106">
        <v>26</v>
      </c>
      <c r="H38" s="97">
        <v>2600000</v>
      </c>
      <c r="I38" s="98">
        <f t="shared" si="0"/>
        <v>12500</v>
      </c>
      <c r="J38" s="107">
        <f t="shared" si="1"/>
        <v>18750</v>
      </c>
      <c r="K38" s="102"/>
      <c r="L38" s="99">
        <f t="shared" si="2"/>
        <v>0</v>
      </c>
      <c r="M38" s="108">
        <f t="shared" si="3"/>
        <v>25000</v>
      </c>
      <c r="N38" s="102"/>
      <c r="O38" s="99">
        <f t="shared" si="4"/>
        <v>0</v>
      </c>
      <c r="P38" s="108">
        <f t="shared" si="5"/>
        <v>31250</v>
      </c>
      <c r="Q38" s="102"/>
      <c r="R38" s="99">
        <f t="shared" si="6"/>
        <v>0</v>
      </c>
      <c r="S38" s="99">
        <f t="shared" si="7"/>
        <v>0</v>
      </c>
      <c r="T38" s="109"/>
      <c r="U38" s="109"/>
      <c r="V38" s="109"/>
    </row>
    <row r="39" spans="1:22">
      <c r="A39" s="102">
        <v>32</v>
      </c>
      <c r="B39" s="109" t="str">
        <v>MYL202504072</v>
      </c>
      <c r="C39" s="104" t="str">
        <v>MR BACKHAM XAISONGKHAM</v>
      </c>
      <c r="D39" s="104">
        <v>2093768539</v>
      </c>
      <c r="E39" s="104" t="str">
        <v>Welding  PTS</v>
      </c>
      <c r="F39" s="105" t="str">
        <v>ພາຍໃນປະເທດ</v>
      </c>
      <c r="G39" s="106">
        <v>26</v>
      </c>
      <c r="H39" s="97">
        <v>2600000</v>
      </c>
      <c r="I39" s="98">
        <f t="shared" si="0"/>
        <v>12500</v>
      </c>
      <c r="J39" s="107">
        <f t="shared" si="1"/>
        <v>18750</v>
      </c>
      <c r="K39" s="102"/>
      <c r="L39" s="99">
        <f t="shared" si="2"/>
        <v>0</v>
      </c>
      <c r="M39" s="108">
        <f t="shared" si="3"/>
        <v>25000</v>
      </c>
      <c r="N39" s="102"/>
      <c r="O39" s="99">
        <f t="shared" si="4"/>
        <v>0</v>
      </c>
      <c r="P39" s="108">
        <f t="shared" si="5"/>
        <v>31250</v>
      </c>
      <c r="Q39" s="102"/>
      <c r="R39" s="99">
        <f t="shared" si="6"/>
        <v>0</v>
      </c>
      <c r="S39" s="99">
        <f t="shared" si="7"/>
        <v>0</v>
      </c>
      <c r="T39" s="109"/>
      <c r="U39" s="109"/>
      <c r="V39" s="109"/>
    </row>
    <row r="40" spans="1:22">
      <c r="A40" s="102">
        <v>33</v>
      </c>
      <c r="B40" s="109" t="str">
        <v>MYL202509108</v>
      </c>
      <c r="C40" s="104" t="str">
        <v>MR SEEVA  PONGSIMMALY</v>
      </c>
      <c r="D40" s="104">
        <v>2056238018</v>
      </c>
      <c r="E40" s="104" t="str">
        <v>Welding  PTS</v>
      </c>
      <c r="F40" s="105" t="str">
        <v>ພາຍໃນປະເທດ</v>
      </c>
      <c r="G40" s="106">
        <v>26</v>
      </c>
      <c r="H40" s="97">
        <v>2600000</v>
      </c>
      <c r="I40" s="98">
        <f t="shared" ref="I40:I71" si="8">H40/G40/8</f>
        <v>12500</v>
      </c>
      <c r="J40" s="107">
        <f t="shared" ref="J40:J71" si="9">I40*1.5</f>
        <v>18750</v>
      </c>
      <c r="K40" s="102"/>
      <c r="L40" s="99">
        <f t="shared" ref="L40:L71" si="10">J40*K40</f>
        <v>0</v>
      </c>
      <c r="M40" s="108">
        <f t="shared" ref="M40:M71" si="11">I40*2</f>
        <v>25000</v>
      </c>
      <c r="N40" s="102"/>
      <c r="O40" s="99">
        <f t="shared" ref="O40:O71" si="12">M40*N40</f>
        <v>0</v>
      </c>
      <c r="P40" s="108">
        <f t="shared" ref="P40:P71" si="13">I40*2.5</f>
        <v>31250</v>
      </c>
      <c r="Q40" s="102"/>
      <c r="R40" s="99">
        <f t="shared" ref="R40:R71" si="14">P40*Q40</f>
        <v>0</v>
      </c>
      <c r="S40" s="99">
        <f t="shared" ref="S40:S71" si="15">L40+O40+R40</f>
        <v>0</v>
      </c>
      <c r="T40" s="109"/>
      <c r="U40" s="109"/>
      <c r="V40" s="109"/>
    </row>
    <row r="41" spans="1:22">
      <c r="A41" s="102">
        <v>34</v>
      </c>
      <c r="B41" s="109" t="str">
        <v>MYL202509109</v>
      </c>
      <c r="C41" s="104" t="str">
        <v>MR YOD CHAMPA</v>
      </c>
      <c r="D41" s="104">
        <v>2091295633</v>
      </c>
      <c r="E41" s="104" t="str">
        <v>Welding  PTS</v>
      </c>
      <c r="F41" s="105" t="str">
        <v>ພາຍໃນປະເທດ</v>
      </c>
      <c r="G41" s="106">
        <v>26</v>
      </c>
      <c r="H41" s="97">
        <v>2600000</v>
      </c>
      <c r="I41" s="98">
        <f t="shared" si="8"/>
        <v>12500</v>
      </c>
      <c r="J41" s="107">
        <f t="shared" si="9"/>
        <v>18750</v>
      </c>
      <c r="K41" s="102"/>
      <c r="L41" s="99">
        <f t="shared" si="10"/>
        <v>0</v>
      </c>
      <c r="M41" s="108">
        <f t="shared" si="11"/>
        <v>25000</v>
      </c>
      <c r="N41" s="102"/>
      <c r="O41" s="99">
        <f t="shared" si="12"/>
        <v>0</v>
      </c>
      <c r="P41" s="108">
        <f t="shared" si="13"/>
        <v>31250</v>
      </c>
      <c r="Q41" s="102"/>
      <c r="R41" s="99">
        <f t="shared" si="14"/>
        <v>0</v>
      </c>
      <c r="S41" s="99">
        <f t="shared" si="15"/>
        <v>0</v>
      </c>
      <c r="T41" s="109"/>
      <c r="U41" s="109"/>
      <c r="V41" s="109"/>
    </row>
    <row r="42" spans="1:22">
      <c r="A42" s="102">
        <v>35</v>
      </c>
      <c r="B42" s="109" t="str">
        <v>MYT202604143</v>
      </c>
      <c r="C42" s="104" t="str">
        <v>MR BOUNSAVATH PHETKHAMBOONHUEANG</v>
      </c>
      <c r="D42" s="104">
        <v>2099099712</v>
      </c>
      <c r="E42" s="104" t="str">
        <v>Welding  PTS</v>
      </c>
      <c r="F42" s="105" t="str">
        <v>ພາຍໃນປະເທດ</v>
      </c>
      <c r="G42" s="106">
        <v>26</v>
      </c>
      <c r="H42" s="97">
        <v>2500000</v>
      </c>
      <c r="I42" s="98">
        <f t="shared" si="8"/>
        <v>12019.23076923077</v>
      </c>
      <c r="J42" s="107">
        <f t="shared" si="9"/>
        <v>18028.846153846156</v>
      </c>
      <c r="K42" s="102"/>
      <c r="L42" s="99">
        <f t="shared" si="10"/>
        <v>0</v>
      </c>
      <c r="M42" s="108">
        <f t="shared" si="11"/>
        <v>24038.461538461539</v>
      </c>
      <c r="N42" s="102"/>
      <c r="O42" s="99">
        <f t="shared" si="12"/>
        <v>0</v>
      </c>
      <c r="P42" s="108">
        <f t="shared" si="13"/>
        <v>30048.076923076922</v>
      </c>
      <c r="Q42" s="102"/>
      <c r="R42" s="99">
        <f t="shared" si="14"/>
        <v>0</v>
      </c>
      <c r="S42" s="99">
        <f t="shared" si="15"/>
        <v>0</v>
      </c>
      <c r="T42" s="109"/>
      <c r="U42" s="109"/>
      <c r="V42" s="109"/>
    </row>
    <row r="43" spans="1:22">
      <c r="A43" s="102">
        <v>36</v>
      </c>
      <c r="B43" s="109" t="str">
        <v>MYL202405041</v>
      </c>
      <c r="C43" s="104" t="str">
        <v>MR BOUNXUEN SISOMBOUN</v>
      </c>
      <c r="D43" s="104">
        <v>2057922285</v>
      </c>
      <c r="E43" s="104" t="str">
        <v>Welding OTS 1</v>
      </c>
      <c r="F43" s="105" t="str">
        <v>ພາຍໃນປະເທດ</v>
      </c>
      <c r="G43" s="106">
        <v>26</v>
      </c>
      <c r="H43" s="97">
        <v>2702000</v>
      </c>
      <c r="I43" s="98">
        <f t="shared" si="8"/>
        <v>12990.384615384615</v>
      </c>
      <c r="J43" s="107">
        <f t="shared" si="9"/>
        <v>19485.576923076922</v>
      </c>
      <c r="K43" s="102"/>
      <c r="L43" s="99">
        <f t="shared" si="10"/>
        <v>0</v>
      </c>
      <c r="M43" s="108">
        <f t="shared" si="11"/>
        <v>25980.76923076923</v>
      </c>
      <c r="N43" s="102"/>
      <c r="O43" s="99">
        <f t="shared" si="12"/>
        <v>0</v>
      </c>
      <c r="P43" s="108">
        <f t="shared" si="13"/>
        <v>32475.961538461539</v>
      </c>
      <c r="Q43" s="102"/>
      <c r="R43" s="99">
        <f t="shared" si="14"/>
        <v>0</v>
      </c>
      <c r="S43" s="99">
        <f t="shared" si="15"/>
        <v>0</v>
      </c>
      <c r="T43" s="109"/>
      <c r="U43" s="109"/>
      <c r="V43" s="109"/>
    </row>
    <row r="44" spans="1:22">
      <c r="A44" s="102">
        <v>37</v>
      </c>
      <c r="B44" s="109" t="str">
        <v>MYL202503042</v>
      </c>
      <c r="C44" s="104" t="str">
        <v>MR PHOLIYA</v>
      </c>
      <c r="D44" s="104">
        <v>2091948440</v>
      </c>
      <c r="E44" s="104" t="str">
        <v>Welding OTS 1</v>
      </c>
      <c r="F44" s="105" t="str">
        <v>ພາຍໃນປະເທດ</v>
      </c>
      <c r="G44" s="106">
        <v>26</v>
      </c>
      <c r="H44" s="97">
        <v>2600000</v>
      </c>
      <c r="I44" s="98">
        <f t="shared" si="8"/>
        <v>12500</v>
      </c>
      <c r="J44" s="107">
        <f t="shared" si="9"/>
        <v>18750</v>
      </c>
      <c r="K44" s="102"/>
      <c r="L44" s="99">
        <f t="shared" si="10"/>
        <v>0</v>
      </c>
      <c r="M44" s="108">
        <f t="shared" si="11"/>
        <v>25000</v>
      </c>
      <c r="N44" s="102"/>
      <c r="O44" s="99">
        <f t="shared" si="12"/>
        <v>0</v>
      </c>
      <c r="P44" s="108">
        <f t="shared" si="13"/>
        <v>31250</v>
      </c>
      <c r="Q44" s="102"/>
      <c r="R44" s="99">
        <f t="shared" si="14"/>
        <v>0</v>
      </c>
      <c r="S44" s="99">
        <f t="shared" si="15"/>
        <v>0</v>
      </c>
      <c r="T44" s="109"/>
      <c r="U44" s="109"/>
      <c r="V44" s="109"/>
    </row>
    <row r="45" spans="1:22">
      <c r="A45" s="102">
        <v>38</v>
      </c>
      <c r="B45" s="109" t="str">
        <v>MYL202502048</v>
      </c>
      <c r="C45" s="104" t="str">
        <v>MR XAYSANA CHANTHAVILAY</v>
      </c>
      <c r="D45" s="104">
        <v>2097690329</v>
      </c>
      <c r="E45" s="104" t="str">
        <v>Welding OTS 1</v>
      </c>
      <c r="F45" s="105" t="str">
        <v>ພາຍໃນປະເທດ</v>
      </c>
      <c r="G45" s="106">
        <v>26</v>
      </c>
      <c r="H45" s="97">
        <v>2600000</v>
      </c>
      <c r="I45" s="98">
        <f t="shared" si="8"/>
        <v>12500</v>
      </c>
      <c r="J45" s="107">
        <f t="shared" si="9"/>
        <v>18750</v>
      </c>
      <c r="K45" s="102"/>
      <c r="L45" s="99">
        <f t="shared" si="10"/>
        <v>0</v>
      </c>
      <c r="M45" s="108">
        <f t="shared" si="11"/>
        <v>25000</v>
      </c>
      <c r="N45" s="102"/>
      <c r="O45" s="99">
        <f t="shared" si="12"/>
        <v>0</v>
      </c>
      <c r="P45" s="108">
        <f t="shared" si="13"/>
        <v>31250</v>
      </c>
      <c r="Q45" s="102"/>
      <c r="R45" s="99">
        <f t="shared" si="14"/>
        <v>0</v>
      </c>
      <c r="S45" s="99">
        <f t="shared" si="15"/>
        <v>0</v>
      </c>
      <c r="T45" s="109"/>
      <c r="U45" s="109"/>
      <c r="V45" s="109"/>
    </row>
    <row r="46" spans="1:22">
      <c r="A46" s="102">
        <v>39</v>
      </c>
      <c r="B46" s="109" t="str">
        <v>MYL202601088</v>
      </c>
      <c r="C46" s="104" t="str">
        <v>MR SAYYAPHONE CHAMPA</v>
      </c>
      <c r="D46" s="104">
        <v>2076162127</v>
      </c>
      <c r="E46" s="104" t="str">
        <v>Welding OTS 1</v>
      </c>
      <c r="F46" s="105" t="str">
        <v>ພາຍໃນປະເທດ</v>
      </c>
      <c r="G46" s="106">
        <v>26</v>
      </c>
      <c r="H46" s="97">
        <v>2600000</v>
      </c>
      <c r="I46" s="98">
        <f t="shared" si="8"/>
        <v>12500</v>
      </c>
      <c r="J46" s="107">
        <f t="shared" si="9"/>
        <v>18750</v>
      </c>
      <c r="K46" s="102"/>
      <c r="L46" s="99">
        <f t="shared" si="10"/>
        <v>0</v>
      </c>
      <c r="M46" s="108">
        <f t="shared" si="11"/>
        <v>25000</v>
      </c>
      <c r="N46" s="102"/>
      <c r="O46" s="99">
        <f t="shared" si="12"/>
        <v>0</v>
      </c>
      <c r="P46" s="108">
        <f t="shared" si="13"/>
        <v>31250</v>
      </c>
      <c r="Q46" s="102"/>
      <c r="R46" s="99">
        <f t="shared" si="14"/>
        <v>0</v>
      </c>
      <c r="S46" s="99">
        <f t="shared" si="15"/>
        <v>0</v>
      </c>
      <c r="T46" s="109"/>
      <c r="U46" s="109"/>
      <c r="V46" s="109"/>
    </row>
    <row r="47" spans="1:22">
      <c r="A47" s="102">
        <v>40</v>
      </c>
      <c r="B47" s="109" t="str">
        <v>MYL202505089</v>
      </c>
      <c r="C47" s="104" t="str">
        <v>MR VONGDEUAN PHIMMASOME</v>
      </c>
      <c r="D47" s="104">
        <v>2059784851</v>
      </c>
      <c r="E47" s="104" t="str">
        <v>Welding OTS 1</v>
      </c>
      <c r="F47" s="105" t="str">
        <v>ພາຍໃນປະເທດ</v>
      </c>
      <c r="G47" s="106">
        <v>26</v>
      </c>
      <c r="H47" s="97">
        <v>2600000</v>
      </c>
      <c r="I47" s="98">
        <f t="shared" si="8"/>
        <v>12500</v>
      </c>
      <c r="J47" s="107">
        <f t="shared" si="9"/>
        <v>18750</v>
      </c>
      <c r="K47" s="102"/>
      <c r="L47" s="99">
        <f t="shared" si="10"/>
        <v>0</v>
      </c>
      <c r="M47" s="108">
        <f t="shared" si="11"/>
        <v>25000</v>
      </c>
      <c r="N47" s="102"/>
      <c r="O47" s="99">
        <f t="shared" si="12"/>
        <v>0</v>
      </c>
      <c r="P47" s="108">
        <f t="shared" si="13"/>
        <v>31250</v>
      </c>
      <c r="Q47" s="102"/>
      <c r="R47" s="99">
        <f t="shared" si="14"/>
        <v>0</v>
      </c>
      <c r="S47" s="99">
        <f t="shared" si="15"/>
        <v>0</v>
      </c>
      <c r="T47" s="109"/>
      <c r="U47" s="109"/>
      <c r="V47" s="109"/>
    </row>
    <row r="48" spans="1:22">
      <c r="A48" s="102">
        <v>41</v>
      </c>
      <c r="B48" s="109" t="str">
        <v>MYL202507103</v>
      </c>
      <c r="C48" s="104" t="str">
        <v>MR NOUZING SEELANAM</v>
      </c>
      <c r="D48" s="104">
        <v>2093462059</v>
      </c>
      <c r="E48" s="104" t="str">
        <v>Welding OTS 1</v>
      </c>
      <c r="F48" s="105" t="str">
        <v>ພາຍໃນປະເທດ</v>
      </c>
      <c r="G48" s="106">
        <v>26</v>
      </c>
      <c r="H48" s="97">
        <v>2600000</v>
      </c>
      <c r="I48" s="98">
        <f t="shared" si="8"/>
        <v>12500</v>
      </c>
      <c r="J48" s="107">
        <f t="shared" si="9"/>
        <v>18750</v>
      </c>
      <c r="K48" s="102"/>
      <c r="L48" s="99">
        <f t="shared" si="10"/>
        <v>0</v>
      </c>
      <c r="M48" s="108">
        <f t="shared" si="11"/>
        <v>25000</v>
      </c>
      <c r="N48" s="102"/>
      <c r="O48" s="99">
        <f t="shared" si="12"/>
        <v>0</v>
      </c>
      <c r="P48" s="108">
        <f t="shared" si="13"/>
        <v>31250</v>
      </c>
      <c r="Q48" s="102"/>
      <c r="R48" s="99">
        <f t="shared" si="14"/>
        <v>0</v>
      </c>
      <c r="S48" s="99">
        <f t="shared" si="15"/>
        <v>0</v>
      </c>
      <c r="T48" s="109"/>
      <c r="U48" s="109"/>
      <c r="V48" s="109"/>
    </row>
    <row r="49" spans="1:22">
      <c r="A49" s="102">
        <v>42</v>
      </c>
      <c r="B49" s="109" t="str">
        <v>MYL202606157</v>
      </c>
      <c r="C49" s="104" t="str">
        <v>MR PHOUTHONE CHANTHAVONGSA</v>
      </c>
      <c r="D49" s="104">
        <v>2095105674</v>
      </c>
      <c r="E49" s="104" t="str">
        <v>Welding OTS 1</v>
      </c>
      <c r="F49" s="105" t="str">
        <v>ພາຍໃນປະເທດ</v>
      </c>
      <c r="G49" s="106">
        <v>26</v>
      </c>
      <c r="H49" s="97">
        <v>2500000</v>
      </c>
      <c r="I49" s="98">
        <f t="shared" si="8"/>
        <v>12019.23076923077</v>
      </c>
      <c r="J49" s="107">
        <f t="shared" si="9"/>
        <v>18028.846153846156</v>
      </c>
      <c r="K49" s="102"/>
      <c r="L49" s="99">
        <f t="shared" si="10"/>
        <v>0</v>
      </c>
      <c r="M49" s="108">
        <f t="shared" si="11"/>
        <v>24038.461538461539</v>
      </c>
      <c r="N49" s="102"/>
      <c r="O49" s="99">
        <f t="shared" si="12"/>
        <v>0</v>
      </c>
      <c r="P49" s="108">
        <f t="shared" si="13"/>
        <v>30048.076923076922</v>
      </c>
      <c r="Q49" s="102"/>
      <c r="R49" s="99">
        <f t="shared" si="14"/>
        <v>0</v>
      </c>
      <c r="S49" s="99">
        <f t="shared" si="15"/>
        <v>0</v>
      </c>
      <c r="T49" s="109"/>
      <c r="U49" s="109"/>
      <c r="V49" s="109"/>
    </row>
    <row r="50" spans="1:22">
      <c r="A50" s="102">
        <v>43</v>
      </c>
      <c r="B50" s="109" t="str">
        <v>MYL201908038</v>
      </c>
      <c r="C50" s="104" t="str">
        <v>MR PHONEPHANA  SINGSUAYKEO</v>
      </c>
      <c r="D50" s="104">
        <v>2077111088</v>
      </c>
      <c r="E50" s="104" t="str">
        <v>Welding OTS 2</v>
      </c>
      <c r="F50" s="105" t="str">
        <v>ພາຍໃນປະເທດ</v>
      </c>
      <c r="G50" s="106">
        <v>26</v>
      </c>
      <c r="H50" s="97">
        <v>4000000</v>
      </c>
      <c r="I50" s="98">
        <f t="shared" si="8"/>
        <v>19230.76923076923</v>
      </c>
      <c r="J50" s="107">
        <f t="shared" si="9"/>
        <v>28846.153846153844</v>
      </c>
      <c r="K50" s="102"/>
      <c r="L50" s="99">
        <f t="shared" si="10"/>
        <v>0</v>
      </c>
      <c r="M50" s="108">
        <f t="shared" si="11"/>
        <v>38461.538461538461</v>
      </c>
      <c r="N50" s="102"/>
      <c r="O50" s="99">
        <f t="shared" si="12"/>
        <v>0</v>
      </c>
      <c r="P50" s="108">
        <f t="shared" si="13"/>
        <v>48076.923076923078</v>
      </c>
      <c r="Q50" s="102"/>
      <c r="R50" s="99">
        <f t="shared" si="14"/>
        <v>0</v>
      </c>
      <c r="S50" s="99">
        <f t="shared" si="15"/>
        <v>0</v>
      </c>
      <c r="T50" s="109"/>
      <c r="U50" s="109"/>
      <c r="V50" s="109"/>
    </row>
    <row r="51" spans="1:22">
      <c r="A51" s="102">
        <v>44</v>
      </c>
      <c r="B51" s="109" t="str">
        <v>MYL202502043</v>
      </c>
      <c r="C51" s="104" t="str">
        <v>MR JONENY CHAMPA</v>
      </c>
      <c r="D51" s="104">
        <v>2058802628</v>
      </c>
      <c r="E51" s="104" t="str">
        <v>Welding OTS 2</v>
      </c>
      <c r="F51" s="105" t="str">
        <v>ພາຍໃນປະເທດ</v>
      </c>
      <c r="G51" s="106">
        <v>26</v>
      </c>
      <c r="H51" s="97">
        <v>2600000</v>
      </c>
      <c r="I51" s="98">
        <f t="shared" si="8"/>
        <v>12500</v>
      </c>
      <c r="J51" s="107">
        <f t="shared" si="9"/>
        <v>18750</v>
      </c>
      <c r="K51" s="102"/>
      <c r="L51" s="99">
        <f t="shared" si="10"/>
        <v>0</v>
      </c>
      <c r="M51" s="108">
        <f t="shared" si="11"/>
        <v>25000</v>
      </c>
      <c r="N51" s="102"/>
      <c r="O51" s="99">
        <f t="shared" si="12"/>
        <v>0</v>
      </c>
      <c r="P51" s="108">
        <f t="shared" si="13"/>
        <v>31250</v>
      </c>
      <c r="Q51" s="102"/>
      <c r="R51" s="99">
        <f t="shared" si="14"/>
        <v>0</v>
      </c>
      <c r="S51" s="99">
        <f t="shared" si="15"/>
        <v>0</v>
      </c>
      <c r="T51" s="109"/>
      <c r="U51" s="109"/>
      <c r="V51" s="109"/>
    </row>
    <row r="52" spans="1:22">
      <c r="A52" s="102">
        <v>45</v>
      </c>
      <c r="B52" s="109" t="str">
        <v>MYL202504055</v>
      </c>
      <c r="C52" s="104" t="str">
        <v>MR BOUNMA SOUTHALIN</v>
      </c>
      <c r="D52" s="104">
        <v>2099388176</v>
      </c>
      <c r="E52" s="104" t="str">
        <v>Welding OTS 2</v>
      </c>
      <c r="F52" s="105" t="str">
        <v>ພາຍໃນປະເທດ</v>
      </c>
      <c r="G52" s="106">
        <v>26</v>
      </c>
      <c r="H52" s="97">
        <v>2600000</v>
      </c>
      <c r="I52" s="98">
        <f t="shared" si="8"/>
        <v>12500</v>
      </c>
      <c r="J52" s="107">
        <f t="shared" si="9"/>
        <v>18750</v>
      </c>
      <c r="K52" s="102"/>
      <c r="L52" s="99">
        <f t="shared" si="10"/>
        <v>0</v>
      </c>
      <c r="M52" s="108">
        <f t="shared" si="11"/>
        <v>25000</v>
      </c>
      <c r="N52" s="102"/>
      <c r="O52" s="99">
        <f t="shared" si="12"/>
        <v>0</v>
      </c>
      <c r="P52" s="108">
        <f t="shared" si="13"/>
        <v>31250</v>
      </c>
      <c r="Q52" s="102"/>
      <c r="R52" s="99">
        <f t="shared" si="14"/>
        <v>0</v>
      </c>
      <c r="S52" s="99">
        <f t="shared" si="15"/>
        <v>0</v>
      </c>
      <c r="T52" s="109"/>
      <c r="U52" s="109"/>
      <c r="V52" s="109"/>
    </row>
    <row r="53" spans="1:22">
      <c r="A53" s="102">
        <v>46</v>
      </c>
      <c r="B53" s="109" t="str">
        <v>MYL202507097</v>
      </c>
      <c r="C53" s="104" t="str">
        <v>MR CHAT SAENGARLUON</v>
      </c>
      <c r="D53" s="104">
        <v>2093107685</v>
      </c>
      <c r="E53" s="104" t="str">
        <v>Welding OTS 2</v>
      </c>
      <c r="F53" s="105" t="str">
        <v>ພາຍໃນປະເທດ</v>
      </c>
      <c r="G53" s="106">
        <v>26</v>
      </c>
      <c r="H53" s="97">
        <v>2600000</v>
      </c>
      <c r="I53" s="98">
        <f t="shared" si="8"/>
        <v>12500</v>
      </c>
      <c r="J53" s="107">
        <f t="shared" si="9"/>
        <v>18750</v>
      </c>
      <c r="K53" s="102"/>
      <c r="L53" s="99">
        <f t="shared" si="10"/>
        <v>0</v>
      </c>
      <c r="M53" s="108">
        <f t="shared" si="11"/>
        <v>25000</v>
      </c>
      <c r="N53" s="102"/>
      <c r="O53" s="99">
        <f t="shared" si="12"/>
        <v>0</v>
      </c>
      <c r="P53" s="108">
        <f t="shared" si="13"/>
        <v>31250</v>
      </c>
      <c r="Q53" s="102"/>
      <c r="R53" s="99">
        <f t="shared" si="14"/>
        <v>0</v>
      </c>
      <c r="S53" s="99">
        <f t="shared" si="15"/>
        <v>0</v>
      </c>
      <c r="T53" s="109"/>
      <c r="U53" s="109"/>
      <c r="V53" s="109"/>
    </row>
    <row r="54" spans="1:22">
      <c r="A54" s="102">
        <v>47</v>
      </c>
      <c r="B54" s="109" t="str">
        <v>MYL202507101</v>
      </c>
      <c r="C54" s="104" t="str">
        <v>MR BOUNKEUTH NORLATH</v>
      </c>
      <c r="D54" s="104">
        <v>2094297776</v>
      </c>
      <c r="E54" s="104" t="str">
        <v>Welding OTS 2</v>
      </c>
      <c r="F54" s="105" t="str">
        <v>ພາຍໃນປະເທດ</v>
      </c>
      <c r="G54" s="106">
        <v>26</v>
      </c>
      <c r="H54" s="97">
        <v>2500000</v>
      </c>
      <c r="I54" s="98">
        <f t="shared" si="8"/>
        <v>12019.23076923077</v>
      </c>
      <c r="J54" s="107">
        <f t="shared" si="9"/>
        <v>18028.846153846156</v>
      </c>
      <c r="K54" s="102"/>
      <c r="L54" s="99">
        <f t="shared" si="10"/>
        <v>0</v>
      </c>
      <c r="M54" s="108">
        <f t="shared" si="11"/>
        <v>24038.461538461539</v>
      </c>
      <c r="N54" s="102"/>
      <c r="O54" s="99">
        <f t="shared" si="12"/>
        <v>0</v>
      </c>
      <c r="P54" s="108">
        <f t="shared" si="13"/>
        <v>30048.076923076922</v>
      </c>
      <c r="Q54" s="102"/>
      <c r="R54" s="99">
        <f t="shared" si="14"/>
        <v>0</v>
      </c>
      <c r="S54" s="99">
        <f t="shared" si="15"/>
        <v>0</v>
      </c>
      <c r="T54" s="109"/>
      <c r="U54" s="109"/>
      <c r="V54" s="109"/>
    </row>
    <row r="55" spans="1:22">
      <c r="A55" s="102">
        <v>48</v>
      </c>
      <c r="B55" s="109" t="str">
        <v>MYL202601126</v>
      </c>
      <c r="C55" s="104" t="str">
        <v>MR BONETHANA SYPASUET</v>
      </c>
      <c r="D55" s="104">
        <v>2098614922</v>
      </c>
      <c r="E55" s="104" t="str">
        <v>Welding OTS 2</v>
      </c>
      <c r="F55" s="105" t="str">
        <v>ພາຍໃນປະເທດ</v>
      </c>
      <c r="G55" s="106">
        <v>26</v>
      </c>
      <c r="H55" s="97">
        <v>2600000</v>
      </c>
      <c r="I55" s="98">
        <f t="shared" si="8"/>
        <v>12500</v>
      </c>
      <c r="J55" s="107">
        <f t="shared" si="9"/>
        <v>18750</v>
      </c>
      <c r="K55" s="102"/>
      <c r="L55" s="99">
        <f t="shared" si="10"/>
        <v>0</v>
      </c>
      <c r="M55" s="108">
        <f t="shared" si="11"/>
        <v>25000</v>
      </c>
      <c r="N55" s="102"/>
      <c r="O55" s="99">
        <f t="shared" si="12"/>
        <v>0</v>
      </c>
      <c r="P55" s="108">
        <f t="shared" si="13"/>
        <v>31250</v>
      </c>
      <c r="Q55" s="102"/>
      <c r="R55" s="99">
        <f t="shared" si="14"/>
        <v>0</v>
      </c>
      <c r="S55" s="99">
        <f t="shared" si="15"/>
        <v>0</v>
      </c>
      <c r="T55" s="109"/>
      <c r="U55" s="109"/>
      <c r="V55" s="109"/>
    </row>
    <row r="56" spans="1:22">
      <c r="A56" s="102">
        <v>49</v>
      </c>
      <c r="B56" s="109" t="str">
        <v>MYL202605148</v>
      </c>
      <c r="C56" s="104" t="str">
        <v>MR VILAYLACK SEEMIXAI</v>
      </c>
      <c r="D56" s="104">
        <v>2056183148</v>
      </c>
      <c r="E56" s="104" t="str">
        <v>Welding OTS 2</v>
      </c>
      <c r="F56" s="105" t="str">
        <v>ພາຍໃນປະເທດ</v>
      </c>
      <c r="G56" s="106">
        <v>26</v>
      </c>
      <c r="H56" s="97">
        <v>2500000</v>
      </c>
      <c r="I56" s="98">
        <f t="shared" si="8"/>
        <v>12019.23076923077</v>
      </c>
      <c r="J56" s="107">
        <f t="shared" si="9"/>
        <v>18028.846153846156</v>
      </c>
      <c r="K56" s="102"/>
      <c r="L56" s="99">
        <f t="shared" si="10"/>
        <v>0</v>
      </c>
      <c r="M56" s="108">
        <f t="shared" si="11"/>
        <v>24038.461538461539</v>
      </c>
      <c r="N56" s="102"/>
      <c r="O56" s="99">
        <f t="shared" si="12"/>
        <v>0</v>
      </c>
      <c r="P56" s="108">
        <f t="shared" si="13"/>
        <v>30048.076923076922</v>
      </c>
      <c r="Q56" s="102"/>
      <c r="R56" s="99">
        <f t="shared" si="14"/>
        <v>0</v>
      </c>
      <c r="S56" s="99">
        <f t="shared" si="15"/>
        <v>0</v>
      </c>
      <c r="T56" s="109"/>
      <c r="U56" s="109"/>
      <c r="V56" s="109"/>
    </row>
    <row r="57" spans="1:22">
      <c r="A57" s="102">
        <v>50</v>
      </c>
      <c r="B57" s="109" t="str">
        <v>MYL202606154</v>
      </c>
      <c r="C57" s="104" t="str">
        <v>MR THUDSAPHONE HOUNGLADSAMEE</v>
      </c>
      <c r="D57" s="104">
        <v>2097845973</v>
      </c>
      <c r="E57" s="104" t="str">
        <v>Welding OTS 2</v>
      </c>
      <c r="F57" s="105" t="str">
        <v>ພາຍໃນປະເທດ</v>
      </c>
      <c r="G57" s="106">
        <v>26</v>
      </c>
      <c r="H57" s="97">
        <v>2500000</v>
      </c>
      <c r="I57" s="98">
        <f t="shared" si="8"/>
        <v>12019.23076923077</v>
      </c>
      <c r="J57" s="107">
        <f t="shared" si="9"/>
        <v>18028.846153846156</v>
      </c>
      <c r="K57" s="102"/>
      <c r="L57" s="99">
        <f t="shared" si="10"/>
        <v>0</v>
      </c>
      <c r="M57" s="108">
        <f t="shared" si="11"/>
        <v>24038.461538461539</v>
      </c>
      <c r="N57" s="102"/>
      <c r="O57" s="99">
        <f t="shared" si="12"/>
        <v>0</v>
      </c>
      <c r="P57" s="108">
        <f t="shared" si="13"/>
        <v>30048.076923076922</v>
      </c>
      <c r="Q57" s="102"/>
      <c r="R57" s="99">
        <f t="shared" si="14"/>
        <v>0</v>
      </c>
      <c r="S57" s="99">
        <f t="shared" si="15"/>
        <v>0</v>
      </c>
      <c r="T57" s="109"/>
      <c r="U57" s="109"/>
      <c r="V57" s="109"/>
    </row>
    <row r="58" spans="1:22">
      <c r="A58" s="102">
        <v>51</v>
      </c>
      <c r="B58" s="109" t="str">
        <v>MYL202001008</v>
      </c>
      <c r="C58" s="104" t="str">
        <v>MRS SAVINY PHOUTTHALAKSA</v>
      </c>
      <c r="D58" s="104">
        <v>2099481761</v>
      </c>
      <c r="E58" s="104" t="str">
        <v>Valve Assembly</v>
      </c>
      <c r="F58" s="105" t="str">
        <v>ພາຍໃນປະເທດ</v>
      </c>
      <c r="G58" s="106">
        <v>26</v>
      </c>
      <c r="H58" s="97">
        <v>2865137.824</v>
      </c>
      <c r="I58" s="98">
        <f t="shared" si="8"/>
        <v>13774.701076923076</v>
      </c>
      <c r="J58" s="107">
        <f t="shared" si="9"/>
        <v>20662.051615384615</v>
      </c>
      <c r="K58" s="102"/>
      <c r="L58" s="99">
        <f t="shared" si="10"/>
        <v>0</v>
      </c>
      <c r="M58" s="108">
        <f t="shared" si="11"/>
        <v>27549.402153846153</v>
      </c>
      <c r="N58" s="102"/>
      <c r="O58" s="99">
        <f t="shared" si="12"/>
        <v>0</v>
      </c>
      <c r="P58" s="108">
        <f t="shared" si="13"/>
        <v>34436.752692307695</v>
      </c>
      <c r="Q58" s="102"/>
      <c r="R58" s="99">
        <f t="shared" si="14"/>
        <v>0</v>
      </c>
      <c r="S58" s="99">
        <f t="shared" si="15"/>
        <v>0</v>
      </c>
      <c r="T58" s="109"/>
      <c r="U58" s="109"/>
      <c r="V58" s="109"/>
    </row>
    <row r="59" spans="1:22">
      <c r="A59" s="102">
        <v>52</v>
      </c>
      <c r="B59" s="109" t="str">
        <v>MYL202501009</v>
      </c>
      <c r="C59" s="104" t="str">
        <v>MRS SUINOY THILAKHAMPHIW</v>
      </c>
      <c r="D59" s="104">
        <v>2077053990</v>
      </c>
      <c r="E59" s="104" t="str">
        <v>Valve Assembly</v>
      </c>
      <c r="F59" s="105" t="str">
        <v>ພາຍໃນປະເທດ</v>
      </c>
      <c r="G59" s="106">
        <v>26</v>
      </c>
      <c r="H59" s="97">
        <v>2600000</v>
      </c>
      <c r="I59" s="98">
        <f t="shared" si="8"/>
        <v>12500</v>
      </c>
      <c r="J59" s="107">
        <f t="shared" si="9"/>
        <v>18750</v>
      </c>
      <c r="K59" s="102"/>
      <c r="L59" s="99">
        <f t="shared" si="10"/>
        <v>0</v>
      </c>
      <c r="M59" s="108">
        <f t="shared" si="11"/>
        <v>25000</v>
      </c>
      <c r="N59" s="102"/>
      <c r="O59" s="99">
        <f t="shared" si="12"/>
        <v>0</v>
      </c>
      <c r="P59" s="108">
        <f t="shared" si="13"/>
        <v>31250</v>
      </c>
      <c r="Q59" s="102"/>
      <c r="R59" s="99">
        <f t="shared" si="14"/>
        <v>0</v>
      </c>
      <c r="S59" s="99">
        <f t="shared" si="15"/>
        <v>0</v>
      </c>
      <c r="T59" s="109"/>
      <c r="U59" s="109"/>
      <c r="V59" s="109"/>
    </row>
    <row r="60" spans="1:22">
      <c r="A60" s="102">
        <v>53</v>
      </c>
      <c r="B60" s="109" t="str">
        <v>MYL202001019</v>
      </c>
      <c r="C60" s="104" t="str">
        <v>MRS VANNAPHA VONGCHANDY</v>
      </c>
      <c r="D60" s="104">
        <v>2051502770</v>
      </c>
      <c r="E60" s="104" t="str">
        <v>PISTON Assembly</v>
      </c>
      <c r="F60" s="105" t="str">
        <v>ພາຍໃນປະເທດ</v>
      </c>
      <c r="G60" s="106">
        <v>26</v>
      </c>
      <c r="H60" s="97">
        <v>2865137.824</v>
      </c>
      <c r="I60" s="98">
        <f t="shared" si="8"/>
        <v>13774.701076923076</v>
      </c>
      <c r="J60" s="107">
        <f t="shared" si="9"/>
        <v>20662.051615384615</v>
      </c>
      <c r="K60" s="102"/>
      <c r="L60" s="99">
        <f t="shared" si="10"/>
        <v>0</v>
      </c>
      <c r="M60" s="108">
        <f t="shared" si="11"/>
        <v>27549.402153846153</v>
      </c>
      <c r="N60" s="102"/>
      <c r="O60" s="99">
        <f t="shared" si="12"/>
        <v>0</v>
      </c>
      <c r="P60" s="108">
        <f t="shared" si="13"/>
        <v>34436.752692307695</v>
      </c>
      <c r="Q60" s="102"/>
      <c r="R60" s="99">
        <f t="shared" si="14"/>
        <v>0</v>
      </c>
      <c r="S60" s="99">
        <f t="shared" si="15"/>
        <v>0</v>
      </c>
      <c r="T60" s="109"/>
      <c r="U60" s="109"/>
      <c r="V60" s="109"/>
    </row>
    <row r="61" spans="1:22">
      <c r="A61" s="102">
        <v>54</v>
      </c>
      <c r="B61" s="109" t="str">
        <v>MYL202509115</v>
      </c>
      <c r="C61" s="104" t="str">
        <v>MRS TOUNY SENGSOULIN</v>
      </c>
      <c r="D61" s="104">
        <v>2091940060</v>
      </c>
      <c r="E61" s="104" t="str">
        <v>PISTON Assembly</v>
      </c>
      <c r="F61" s="105" t="str">
        <v>ພາຍໃນປະເທດ</v>
      </c>
      <c r="G61" s="106">
        <v>26</v>
      </c>
      <c r="H61" s="97">
        <v>2600000</v>
      </c>
      <c r="I61" s="98">
        <f t="shared" si="8"/>
        <v>12500</v>
      </c>
      <c r="J61" s="107">
        <f t="shared" si="9"/>
        <v>18750</v>
      </c>
      <c r="K61" s="102">
        <v>2</v>
      </c>
      <c r="L61" s="99">
        <f t="shared" si="10"/>
        <v>37500</v>
      </c>
      <c r="M61" s="108">
        <f t="shared" si="11"/>
        <v>25000</v>
      </c>
      <c r="N61" s="102"/>
      <c r="O61" s="99">
        <f t="shared" si="12"/>
        <v>0</v>
      </c>
      <c r="P61" s="108">
        <f t="shared" si="13"/>
        <v>31250</v>
      </c>
      <c r="Q61" s="102"/>
      <c r="R61" s="99">
        <f t="shared" si="14"/>
        <v>0</v>
      </c>
      <c r="S61" s="99">
        <f t="shared" si="15"/>
        <v>37500</v>
      </c>
      <c r="T61" s="109"/>
      <c r="U61" s="109"/>
      <c r="V61" s="109"/>
    </row>
    <row r="62" spans="1:22">
      <c r="A62" s="102">
        <v>55</v>
      </c>
      <c r="B62" s="109" t="str">
        <v>MYL201908033</v>
      </c>
      <c r="C62" s="104" t="str">
        <v>MR SIPHAN KITTILATH</v>
      </c>
      <c r="D62" s="104">
        <v>2051502770</v>
      </c>
      <c r="E62" s="104" t="str">
        <v>Assembly_PTS</v>
      </c>
      <c r="F62" s="105" t="str">
        <v>ພາຍໃນປະເທດ</v>
      </c>
      <c r="G62" s="106">
        <v>26</v>
      </c>
      <c r="H62" s="97">
        <v>3300000</v>
      </c>
      <c r="I62" s="98">
        <f t="shared" si="8"/>
        <v>15865.384615384615</v>
      </c>
      <c r="J62" s="107">
        <f t="shared" si="9"/>
        <v>23798.076923076922</v>
      </c>
      <c r="K62" s="102"/>
      <c r="L62" s="99">
        <f t="shared" si="10"/>
        <v>0</v>
      </c>
      <c r="M62" s="108">
        <f t="shared" si="11"/>
        <v>31730.76923076923</v>
      </c>
      <c r="N62" s="102"/>
      <c r="O62" s="99">
        <f t="shared" si="12"/>
        <v>0</v>
      </c>
      <c r="P62" s="108">
        <f t="shared" si="13"/>
        <v>39663.461538461539</v>
      </c>
      <c r="Q62" s="102"/>
      <c r="R62" s="99">
        <f t="shared" si="14"/>
        <v>0</v>
      </c>
      <c r="S62" s="99">
        <f t="shared" si="15"/>
        <v>0</v>
      </c>
      <c r="T62" s="109"/>
      <c r="U62" s="109"/>
      <c r="V62" s="109"/>
    </row>
    <row r="63" spans="1:22">
      <c r="A63" s="102">
        <v>56</v>
      </c>
      <c r="B63" s="109" t="str">
        <v>MYL202502017</v>
      </c>
      <c r="C63" s="104" t="str">
        <v>MRS KHAMPHOUVI SETTHATHILATH</v>
      </c>
      <c r="D63" s="104">
        <v>2095818828</v>
      </c>
      <c r="E63" s="104" t="str">
        <v>Assembly_PTS</v>
      </c>
      <c r="F63" s="105" t="str">
        <v>ພາຍໃນປະເທດ</v>
      </c>
      <c r="G63" s="106">
        <v>26</v>
      </c>
      <c r="H63" s="97">
        <v>2600000</v>
      </c>
      <c r="I63" s="98">
        <f t="shared" si="8"/>
        <v>12500</v>
      </c>
      <c r="J63" s="107">
        <f t="shared" si="9"/>
        <v>18750</v>
      </c>
      <c r="K63" s="102"/>
      <c r="L63" s="99">
        <f t="shared" si="10"/>
        <v>0</v>
      </c>
      <c r="M63" s="108">
        <f t="shared" si="11"/>
        <v>25000</v>
      </c>
      <c r="N63" s="102"/>
      <c r="O63" s="99">
        <f t="shared" si="12"/>
        <v>0</v>
      </c>
      <c r="P63" s="108">
        <f t="shared" si="13"/>
        <v>31250</v>
      </c>
      <c r="Q63" s="102"/>
      <c r="R63" s="99">
        <f t="shared" si="14"/>
        <v>0</v>
      </c>
      <c r="S63" s="99">
        <f t="shared" si="15"/>
        <v>0</v>
      </c>
      <c r="T63" s="109"/>
      <c r="U63" s="109"/>
      <c r="V63" s="109"/>
    </row>
    <row r="64" spans="1:22">
      <c r="A64" s="102">
        <v>57</v>
      </c>
      <c r="B64" s="109" t="str">
        <v>MYL202405034</v>
      </c>
      <c r="C64" s="104" t="str">
        <v>MRS TOUKTA ORLADASITH</v>
      </c>
      <c r="D64" s="104">
        <v>2096080362</v>
      </c>
      <c r="E64" s="104" t="str">
        <v>Assembly_PTS</v>
      </c>
      <c r="F64" s="105" t="str">
        <v>ພາຍໃນປະເທດ</v>
      </c>
      <c r="G64" s="106">
        <v>26</v>
      </c>
      <c r="H64" s="97">
        <v>2668000</v>
      </c>
      <c r="I64" s="98">
        <f t="shared" si="8"/>
        <v>12826.923076923076</v>
      </c>
      <c r="J64" s="107">
        <f t="shared" si="9"/>
        <v>19240.384615384613</v>
      </c>
      <c r="K64" s="102"/>
      <c r="L64" s="99">
        <f t="shared" si="10"/>
        <v>0</v>
      </c>
      <c r="M64" s="108">
        <f t="shared" si="11"/>
        <v>25653.846153846152</v>
      </c>
      <c r="N64" s="102"/>
      <c r="O64" s="99">
        <f t="shared" si="12"/>
        <v>0</v>
      </c>
      <c r="P64" s="108">
        <f t="shared" si="13"/>
        <v>32067.307692307691</v>
      </c>
      <c r="Q64" s="102"/>
      <c r="R64" s="99">
        <f t="shared" si="14"/>
        <v>0</v>
      </c>
      <c r="S64" s="99">
        <f t="shared" si="15"/>
        <v>0</v>
      </c>
      <c r="T64" s="109"/>
      <c r="U64" s="109"/>
      <c r="V64" s="109"/>
    </row>
    <row r="65" spans="1:22">
      <c r="A65" s="102">
        <v>58</v>
      </c>
      <c r="B65" s="109" t="str">
        <v>MYT202511121</v>
      </c>
      <c r="C65" s="104" t="str">
        <v>MR KHAMPHENG SENGDALA</v>
      </c>
      <c r="D65" s="104">
        <v>2058128091</v>
      </c>
      <c r="E65" s="104" t="str">
        <v>Assembly_PTS</v>
      </c>
      <c r="F65" s="105" t="str">
        <v>ພາຍໃນປະເທດ</v>
      </c>
      <c r="G65" s="106">
        <v>26</v>
      </c>
      <c r="H65" s="97">
        <v>2600000</v>
      </c>
      <c r="I65" s="98">
        <f t="shared" si="8"/>
        <v>12500</v>
      </c>
      <c r="J65" s="107">
        <f t="shared" si="9"/>
        <v>18750</v>
      </c>
      <c r="K65" s="102"/>
      <c r="L65" s="99">
        <f t="shared" si="10"/>
        <v>0</v>
      </c>
      <c r="M65" s="108">
        <f t="shared" si="11"/>
        <v>25000</v>
      </c>
      <c r="N65" s="102"/>
      <c r="O65" s="99">
        <f t="shared" si="12"/>
        <v>0</v>
      </c>
      <c r="P65" s="108">
        <f t="shared" si="13"/>
        <v>31250</v>
      </c>
      <c r="Q65" s="102"/>
      <c r="R65" s="99">
        <f t="shared" si="14"/>
        <v>0</v>
      </c>
      <c r="S65" s="99">
        <f t="shared" si="15"/>
        <v>0</v>
      </c>
      <c r="T65" s="109"/>
      <c r="U65" s="109"/>
      <c r="V65" s="109"/>
    </row>
    <row r="66" spans="1:22">
      <c r="A66" s="102">
        <v>59</v>
      </c>
      <c r="B66" s="109" t="str">
        <v>MYL202604145</v>
      </c>
      <c r="C66" s="104" t="str">
        <v>MRS SUAY SENGDALA</v>
      </c>
      <c r="D66" s="104">
        <v>2077315902</v>
      </c>
      <c r="E66" s="104" t="str">
        <v>Assembly_PTS</v>
      </c>
      <c r="F66" s="105" t="str">
        <v>ພາຍໃນປະເທດ</v>
      </c>
      <c r="G66" s="106">
        <v>26</v>
      </c>
      <c r="H66" s="97">
        <v>2500000</v>
      </c>
      <c r="I66" s="98">
        <f t="shared" si="8"/>
        <v>12019.23076923077</v>
      </c>
      <c r="J66" s="107">
        <f t="shared" si="9"/>
        <v>18028.846153846156</v>
      </c>
      <c r="K66" s="102"/>
      <c r="L66" s="99">
        <f t="shared" si="10"/>
        <v>0</v>
      </c>
      <c r="M66" s="108">
        <f t="shared" si="11"/>
        <v>24038.461538461539</v>
      </c>
      <c r="N66" s="102"/>
      <c r="O66" s="99">
        <f t="shared" si="12"/>
        <v>0</v>
      </c>
      <c r="P66" s="108">
        <f t="shared" si="13"/>
        <v>30048.076923076922</v>
      </c>
      <c r="Q66" s="102"/>
      <c r="R66" s="99">
        <f t="shared" si="14"/>
        <v>0</v>
      </c>
      <c r="S66" s="99">
        <f t="shared" si="15"/>
        <v>0</v>
      </c>
      <c r="T66" s="109"/>
      <c r="U66" s="109"/>
      <c r="V66" s="109"/>
    </row>
    <row r="67" spans="1:22">
      <c r="A67" s="102">
        <v>60</v>
      </c>
      <c r="B67" s="109" t="str">
        <v>MYL202405063</v>
      </c>
      <c r="C67" s="104" t="str">
        <v>MR LOUNGMISAY SINPASEUTH</v>
      </c>
      <c r="D67" s="104">
        <v>2098774705</v>
      </c>
      <c r="E67" s="104" t="str">
        <v>Assembly SAS</v>
      </c>
      <c r="F67" s="105" t="str">
        <v>ພາຍໃນປະເທດ</v>
      </c>
      <c r="G67" s="106">
        <v>26</v>
      </c>
      <c r="H67" s="97">
        <v>3300000</v>
      </c>
      <c r="I67" s="98">
        <f t="shared" si="8"/>
        <v>15865.384615384615</v>
      </c>
      <c r="J67" s="107">
        <f t="shared" si="9"/>
        <v>23798.076923076922</v>
      </c>
      <c r="K67" s="102">
        <v>5</v>
      </c>
      <c r="L67" s="99">
        <f t="shared" si="10"/>
        <v>118990.38461538461</v>
      </c>
      <c r="M67" s="108">
        <f t="shared" si="11"/>
        <v>31730.76923076923</v>
      </c>
      <c r="N67" s="102"/>
      <c r="O67" s="99">
        <f t="shared" si="12"/>
        <v>0</v>
      </c>
      <c r="P67" s="108">
        <f t="shared" si="13"/>
        <v>39663.461538461539</v>
      </c>
      <c r="Q67" s="102"/>
      <c r="R67" s="99">
        <f t="shared" si="14"/>
        <v>0</v>
      </c>
      <c r="S67" s="99">
        <f t="shared" si="15"/>
        <v>118990.38461538461</v>
      </c>
      <c r="T67" s="109"/>
      <c r="U67" s="109"/>
      <c r="V67" s="109"/>
    </row>
    <row r="68" spans="1:22">
      <c r="A68" s="102">
        <v>61</v>
      </c>
      <c r="B68" s="109" t="str">
        <v>MYL202406012</v>
      </c>
      <c r="C68" s="104" t="str">
        <v>MR JIMMY KETTAVONG</v>
      </c>
      <c r="D68" s="104">
        <v>2091940060</v>
      </c>
      <c r="E68" s="104" t="str">
        <v>Assembly SAS</v>
      </c>
      <c r="F68" s="105" t="str">
        <v>ພາຍໃນປະເທດ</v>
      </c>
      <c r="G68" s="106">
        <v>26</v>
      </c>
      <c r="H68" s="97">
        <v>2685000</v>
      </c>
      <c r="I68" s="98">
        <f t="shared" si="8"/>
        <v>12908.653846153846</v>
      </c>
      <c r="J68" s="107">
        <f t="shared" si="9"/>
        <v>19362.98076923077</v>
      </c>
      <c r="K68" s="102">
        <v>5</v>
      </c>
      <c r="L68" s="99">
        <f t="shared" si="10"/>
        <v>96814.903846153844</v>
      </c>
      <c r="M68" s="108">
        <f t="shared" si="11"/>
        <v>25817.307692307691</v>
      </c>
      <c r="N68" s="102"/>
      <c r="O68" s="99">
        <f t="shared" si="12"/>
        <v>0</v>
      </c>
      <c r="P68" s="108">
        <f t="shared" si="13"/>
        <v>32271.634615384613</v>
      </c>
      <c r="Q68" s="102"/>
      <c r="R68" s="99">
        <f t="shared" si="14"/>
        <v>0</v>
      </c>
      <c r="S68" s="99">
        <f t="shared" si="15"/>
        <v>96814.903846153844</v>
      </c>
      <c r="T68" s="109"/>
      <c r="U68" s="109"/>
      <c r="V68" s="109"/>
    </row>
    <row r="69" spans="1:22">
      <c r="A69" s="102">
        <v>62</v>
      </c>
      <c r="B69" s="109" t="str">
        <v>MYL202405031</v>
      </c>
      <c r="C69" s="104" t="str">
        <v>MR NOUPHONE CHANTHAMALY</v>
      </c>
      <c r="D69" s="104">
        <v>2057025508</v>
      </c>
      <c r="E69" s="104" t="str">
        <v>Assembly SAS</v>
      </c>
      <c r="F69" s="105" t="str">
        <v>ພາຍໃນປະເທດ</v>
      </c>
      <c r="G69" s="106">
        <v>26</v>
      </c>
      <c r="H69" s="97">
        <v>2702000</v>
      </c>
      <c r="I69" s="98">
        <f t="shared" si="8"/>
        <v>12990.384615384615</v>
      </c>
      <c r="J69" s="107">
        <f t="shared" si="9"/>
        <v>19485.576923076922</v>
      </c>
      <c r="K69" s="102">
        <v>5</v>
      </c>
      <c r="L69" s="99">
        <f t="shared" si="10"/>
        <v>97427.88461538461</v>
      </c>
      <c r="M69" s="108">
        <f t="shared" si="11"/>
        <v>25980.76923076923</v>
      </c>
      <c r="N69" s="102"/>
      <c r="O69" s="99">
        <f t="shared" si="12"/>
        <v>0</v>
      </c>
      <c r="P69" s="108">
        <f t="shared" si="13"/>
        <v>32475.961538461539</v>
      </c>
      <c r="Q69" s="102"/>
      <c r="R69" s="99">
        <f t="shared" si="14"/>
        <v>0</v>
      </c>
      <c r="S69" s="99">
        <f t="shared" si="15"/>
        <v>97427.88461538461</v>
      </c>
      <c r="T69" s="109"/>
      <c r="U69" s="109"/>
      <c r="V69" s="109"/>
    </row>
    <row r="70" spans="1:22" ht="13.5" customHeight="1">
      <c r="A70" s="102">
        <v>63</v>
      </c>
      <c r="B70" s="109" t="str">
        <v>MYL202504053</v>
      </c>
      <c r="C70" s="104" t="str">
        <v>MISS SOUTSADA SOUTHALIN</v>
      </c>
      <c r="D70" s="104">
        <v>2096593001</v>
      </c>
      <c r="E70" s="104" t="str">
        <v>Assembly SAS</v>
      </c>
      <c r="F70" s="105" t="str">
        <v>ພາຍໃນປະເທດ</v>
      </c>
      <c r="G70" s="106">
        <v>26</v>
      </c>
      <c r="H70" s="97">
        <v>2600000</v>
      </c>
      <c r="I70" s="98">
        <f t="shared" si="8"/>
        <v>12500</v>
      </c>
      <c r="J70" s="107">
        <f t="shared" si="9"/>
        <v>18750</v>
      </c>
      <c r="K70" s="102">
        <v>5</v>
      </c>
      <c r="L70" s="99">
        <f t="shared" si="10"/>
        <v>93750</v>
      </c>
      <c r="M70" s="108">
        <f t="shared" si="11"/>
        <v>25000</v>
      </c>
      <c r="N70" s="102"/>
      <c r="O70" s="99">
        <f t="shared" si="12"/>
        <v>0</v>
      </c>
      <c r="P70" s="108">
        <f t="shared" si="13"/>
        <v>31250</v>
      </c>
      <c r="Q70" s="102"/>
      <c r="R70" s="99">
        <f t="shared" si="14"/>
        <v>0</v>
      </c>
      <c r="S70" s="99">
        <f t="shared" si="15"/>
        <v>93750</v>
      </c>
      <c r="T70" s="109"/>
      <c r="U70" s="109"/>
      <c r="V70" s="109"/>
    </row>
    <row r="71" spans="1:22">
      <c r="A71" s="102">
        <v>64</v>
      </c>
      <c r="B71" s="109" t="str">
        <v>MYL202505080</v>
      </c>
      <c r="C71" s="104" t="str">
        <v>MR BOM CHANTHALATH</v>
      </c>
      <c r="D71" s="104">
        <v>2077522028</v>
      </c>
      <c r="E71" s="104" t="str">
        <v>Assembly SAS</v>
      </c>
      <c r="F71" s="105" t="str">
        <v>ພາຍໃນປະເທດ</v>
      </c>
      <c r="G71" s="106">
        <v>26</v>
      </c>
      <c r="H71" s="97">
        <v>2600000</v>
      </c>
      <c r="I71" s="98">
        <f t="shared" si="8"/>
        <v>12500</v>
      </c>
      <c r="J71" s="107">
        <f t="shared" si="9"/>
        <v>18750</v>
      </c>
      <c r="K71" s="102">
        <v>5</v>
      </c>
      <c r="L71" s="99">
        <f t="shared" si="10"/>
        <v>93750</v>
      </c>
      <c r="M71" s="108">
        <f t="shared" si="11"/>
        <v>25000</v>
      </c>
      <c r="N71" s="102"/>
      <c r="O71" s="99">
        <f t="shared" si="12"/>
        <v>0</v>
      </c>
      <c r="P71" s="108">
        <f t="shared" si="13"/>
        <v>31250</v>
      </c>
      <c r="Q71" s="102"/>
      <c r="R71" s="99">
        <f t="shared" si="14"/>
        <v>0</v>
      </c>
      <c r="S71" s="99">
        <f t="shared" si="15"/>
        <v>93750</v>
      </c>
      <c r="T71" s="109"/>
      <c r="U71" s="109"/>
      <c r="V71" s="109"/>
    </row>
    <row r="72" spans="1:22">
      <c r="A72" s="102">
        <v>65</v>
      </c>
      <c r="B72" s="109" t="str">
        <v>MYL202505090</v>
      </c>
      <c r="C72" s="104" t="str">
        <v>MR SOUKCHAI XAISONGKHARM</v>
      </c>
      <c r="D72" s="104">
        <v>2094049929</v>
      </c>
      <c r="E72" s="104" t="str">
        <v>Assembly SAS</v>
      </c>
      <c r="F72" s="105" t="str">
        <v>ພາຍໃນປະເທດ</v>
      </c>
      <c r="G72" s="106">
        <v>26</v>
      </c>
      <c r="H72" s="97">
        <v>2500000</v>
      </c>
      <c r="I72" s="98">
        <f t="shared" ref="I72:I80" si="16">H72/G72/8</f>
        <v>12019.23076923077</v>
      </c>
      <c r="J72" s="107">
        <f t="shared" ref="J72:J80" si="17">I72*1.5</f>
        <v>18028.846153846156</v>
      </c>
      <c r="K72" s="102"/>
      <c r="L72" s="99">
        <f t="shared" ref="L72:L80" si="18">J72*K72</f>
        <v>0</v>
      </c>
      <c r="M72" s="108">
        <f t="shared" ref="M72:M80" si="19">I72*2</f>
        <v>24038.461538461539</v>
      </c>
      <c r="N72" s="102"/>
      <c r="O72" s="99">
        <f t="shared" ref="O72:O80" si="20">M72*N72</f>
        <v>0</v>
      </c>
      <c r="P72" s="108">
        <f t="shared" ref="P72:P80" si="21">I72*2.5</f>
        <v>30048.076923076922</v>
      </c>
      <c r="Q72" s="102"/>
      <c r="R72" s="99">
        <f t="shared" ref="R72:R81" si="22">P72*Q72</f>
        <v>0</v>
      </c>
      <c r="S72" s="99">
        <f t="shared" ref="S72:S82" si="23">L72+O72+R72</f>
        <v>0</v>
      </c>
      <c r="T72" s="109"/>
      <c r="U72" s="109"/>
      <c r="V72" s="109"/>
    </row>
    <row r="73" spans="1:22">
      <c r="A73" s="102">
        <v>66</v>
      </c>
      <c r="B73" s="109" t="str">
        <v>MYL202606161</v>
      </c>
      <c r="C73" s="104" t="str">
        <v>MR PHOUTHASONE SEELIVONGE</v>
      </c>
      <c r="D73" s="104">
        <v>2092862090</v>
      </c>
      <c r="E73" s="104" t="str">
        <v>Assembly SAS</v>
      </c>
      <c r="F73" s="105" t="str">
        <v>ພາຍໃນປະເທດ</v>
      </c>
      <c r="G73" s="106">
        <v>26</v>
      </c>
      <c r="H73" s="97">
        <v>2500000</v>
      </c>
      <c r="I73" s="98">
        <f t="shared" si="16"/>
        <v>12019.23076923077</v>
      </c>
      <c r="J73" s="107">
        <f t="shared" si="17"/>
        <v>18028.846153846156</v>
      </c>
      <c r="K73" s="102"/>
      <c r="L73" s="99">
        <f t="shared" si="18"/>
        <v>0</v>
      </c>
      <c r="M73" s="108">
        <f t="shared" si="19"/>
        <v>24038.461538461539</v>
      </c>
      <c r="N73" s="102"/>
      <c r="O73" s="99">
        <f t="shared" si="20"/>
        <v>0</v>
      </c>
      <c r="P73" s="108">
        <f t="shared" si="21"/>
        <v>30048.076923076922</v>
      </c>
      <c r="Q73" s="102"/>
      <c r="R73" s="99">
        <f t="shared" si="22"/>
        <v>0</v>
      </c>
      <c r="S73" s="99">
        <f t="shared" si="23"/>
        <v>0</v>
      </c>
      <c r="T73" s="109"/>
      <c r="U73" s="109"/>
      <c r="V73" s="109"/>
    </row>
    <row r="74" spans="1:22">
      <c r="A74" s="102">
        <v>67</v>
      </c>
      <c r="B74" s="109" t="str">
        <v>MYL202502032</v>
      </c>
      <c r="C74" s="104" t="str">
        <v>MR BAIPHONE SYTHALATH</v>
      </c>
      <c r="D74" s="104">
        <v>2092797378</v>
      </c>
      <c r="E74" s="104" t="str">
        <v>PACKING</v>
      </c>
      <c r="F74" s="105" t="str">
        <v>ພາຍໃນປະເທດ</v>
      </c>
      <c r="G74" s="106">
        <v>26</v>
      </c>
      <c r="H74" s="97">
        <v>2600000</v>
      </c>
      <c r="I74" s="98">
        <f t="shared" si="16"/>
        <v>12500</v>
      </c>
      <c r="J74" s="107">
        <f t="shared" si="17"/>
        <v>18750</v>
      </c>
      <c r="K74" s="102"/>
      <c r="L74" s="99">
        <f t="shared" si="18"/>
        <v>0</v>
      </c>
      <c r="M74" s="108">
        <f t="shared" si="19"/>
        <v>25000</v>
      </c>
      <c r="N74" s="102"/>
      <c r="O74" s="99">
        <f t="shared" si="20"/>
        <v>0</v>
      </c>
      <c r="P74" s="108">
        <f t="shared" si="21"/>
        <v>31250</v>
      </c>
      <c r="Q74" s="102"/>
      <c r="R74" s="99">
        <f t="shared" si="22"/>
        <v>0</v>
      </c>
      <c r="S74" s="99">
        <f t="shared" si="23"/>
        <v>0</v>
      </c>
      <c r="T74" s="109"/>
      <c r="U74" s="109"/>
      <c r="V74" s="109"/>
    </row>
    <row r="75" spans="1:22">
      <c r="A75" s="102"/>
      <c r="B75" s="109" t="str">
        <v>MYL202503139</v>
      </c>
      <c r="C75" s="104" t="str">
        <v>MR VANHOUDONE PHOMMATHAI</v>
      </c>
      <c r="D75" s="104">
        <v>2094335180</v>
      </c>
      <c r="E75" s="104" t="str">
        <v>PACKING</v>
      </c>
      <c r="F75" s="105" t="str">
        <v>ພາຍໃນປະເທດ</v>
      </c>
      <c r="G75" s="106">
        <v>26</v>
      </c>
      <c r="H75" s="97">
        <v>2500000</v>
      </c>
      <c r="I75" s="98">
        <f t="shared" si="16"/>
        <v>12019.23076923077</v>
      </c>
      <c r="J75" s="107">
        <f t="shared" si="17"/>
        <v>18028.846153846156</v>
      </c>
      <c r="K75" s="102"/>
      <c r="L75" s="99">
        <f t="shared" si="18"/>
        <v>0</v>
      </c>
      <c r="M75" s="108">
        <f t="shared" si="19"/>
        <v>24038.461538461539</v>
      </c>
      <c r="N75" s="102"/>
      <c r="O75" s="99">
        <f t="shared" si="20"/>
        <v>0</v>
      </c>
      <c r="P75" s="108">
        <f t="shared" si="21"/>
        <v>30048.076923076922</v>
      </c>
      <c r="Q75" s="102"/>
      <c r="R75" s="99">
        <f t="shared" si="22"/>
        <v>0</v>
      </c>
      <c r="S75" s="99">
        <f t="shared" si="23"/>
        <v>0</v>
      </c>
      <c r="T75" s="109"/>
      <c r="U75" s="109"/>
      <c r="V75" s="109"/>
    </row>
    <row r="76" spans="1:22">
      <c r="A76" s="102"/>
      <c r="B76" s="109" t="str">
        <v>MYL000006</v>
      </c>
      <c r="C76" s="104" t="str">
        <v>MISS PHONEMANY BANPHACHA</v>
      </c>
      <c r="D76" s="104">
        <v>2099955542</v>
      </c>
      <c r="E76" s="104" t="str">
        <v>PACKING</v>
      </c>
      <c r="F76" s="105" t="str">
        <v>ພາຍໃນປະເທດ</v>
      </c>
      <c r="G76" s="106">
        <v>26</v>
      </c>
      <c r="H76" s="97">
        <v>3500000</v>
      </c>
      <c r="I76" s="98">
        <f t="shared" si="16"/>
        <v>16826.923076923078</v>
      </c>
      <c r="J76" s="107">
        <f t="shared" si="17"/>
        <v>25240.384615384617</v>
      </c>
      <c r="K76" s="102"/>
      <c r="L76" s="99">
        <f t="shared" si="18"/>
        <v>0</v>
      </c>
      <c r="M76" s="108">
        <f t="shared" si="19"/>
        <v>33653.846153846156</v>
      </c>
      <c r="N76" s="102"/>
      <c r="O76" s="99">
        <f t="shared" si="20"/>
        <v>0</v>
      </c>
      <c r="P76" s="108">
        <f t="shared" si="21"/>
        <v>42067.307692307695</v>
      </c>
      <c r="Q76" s="102"/>
      <c r="R76" s="99">
        <f t="shared" si="22"/>
        <v>0</v>
      </c>
      <c r="S76" s="99">
        <f t="shared" si="23"/>
        <v>0</v>
      </c>
      <c r="T76" s="109"/>
      <c r="U76" s="109"/>
      <c r="V76" s="109"/>
    </row>
    <row r="77" spans="1:22">
      <c r="A77" s="102"/>
      <c r="B77" s="109" t="str">
        <v>MYL000007</v>
      </c>
      <c r="C77" s="104" t="str">
        <v>MISS DOUANGDAO BANPHACHA</v>
      </c>
      <c r="D77" s="104">
        <v>2055302407</v>
      </c>
      <c r="E77" s="104" t="str">
        <v>PACKING</v>
      </c>
      <c r="F77" s="105" t="str">
        <v>ພາຍໃນປະເທດ</v>
      </c>
      <c r="G77" s="106">
        <v>26</v>
      </c>
      <c r="H77" s="97">
        <v>3500000</v>
      </c>
      <c r="I77" s="98">
        <f t="shared" si="16"/>
        <v>16826.923076923078</v>
      </c>
      <c r="J77" s="107">
        <f t="shared" si="17"/>
        <v>25240.384615384617</v>
      </c>
      <c r="K77" s="102"/>
      <c r="L77" s="99">
        <f t="shared" si="18"/>
        <v>0</v>
      </c>
      <c r="M77" s="108">
        <f t="shared" si="19"/>
        <v>33653.846153846156</v>
      </c>
      <c r="N77" s="102"/>
      <c r="O77" s="99">
        <f t="shared" si="20"/>
        <v>0</v>
      </c>
      <c r="P77" s="108">
        <f t="shared" si="21"/>
        <v>42067.307692307695</v>
      </c>
      <c r="Q77" s="102"/>
      <c r="R77" s="99">
        <f t="shared" si="22"/>
        <v>0</v>
      </c>
      <c r="S77" s="99">
        <f t="shared" si="23"/>
        <v>0</v>
      </c>
      <c r="T77" s="109"/>
      <c r="U77" s="109"/>
      <c r="V77" s="109"/>
    </row>
    <row r="78" spans="1:22">
      <c r="A78" s="102"/>
      <c r="B78" s="109" t="str">
        <v>MYL202502007</v>
      </c>
      <c r="C78" s="104" t="str">
        <v>MR CHANETHAVISAI PHATTHANA</v>
      </c>
      <c r="D78" s="104">
        <v>2094399366</v>
      </c>
      <c r="E78" s="104" t="str">
        <v>STORE TT</v>
      </c>
      <c r="F78" s="105" t="str">
        <v>ພາຍໃນປະເທດ</v>
      </c>
      <c r="G78" s="106">
        <v>26</v>
      </c>
      <c r="H78" s="97">
        <v>5445360</v>
      </c>
      <c r="I78" s="98">
        <f t="shared" si="16"/>
        <v>26179.615384615383</v>
      </c>
      <c r="J78" s="107">
        <f t="shared" si="17"/>
        <v>39269.423076923078</v>
      </c>
      <c r="K78" s="102"/>
      <c r="L78" s="99">
        <f t="shared" si="18"/>
        <v>0</v>
      </c>
      <c r="M78" s="108">
        <f t="shared" si="19"/>
        <v>52359.230769230766</v>
      </c>
      <c r="N78" s="102"/>
      <c r="O78" s="99">
        <f t="shared" si="20"/>
        <v>0</v>
      </c>
      <c r="P78" s="108">
        <f t="shared" si="21"/>
        <v>65449.038461538454</v>
      </c>
      <c r="Q78" s="102"/>
      <c r="R78" s="99">
        <f t="shared" si="22"/>
        <v>0</v>
      </c>
      <c r="S78" s="99">
        <f t="shared" si="23"/>
        <v>0</v>
      </c>
      <c r="T78" s="109"/>
      <c r="U78" s="109"/>
      <c r="V78" s="109"/>
    </row>
    <row r="79" spans="1:22">
      <c r="A79" s="102"/>
      <c r="B79" s="109" t="str">
        <v>MYL202410021</v>
      </c>
      <c r="C79" s="104" t="str">
        <v xml:space="preserve">MISS PANATDA </v>
      </c>
      <c r="D79" s="104">
        <v>2077880077</v>
      </c>
      <c r="E79" s="104" t="str">
        <v>STORE TT</v>
      </c>
      <c r="F79" s="105" t="str">
        <v>ພາຍໃນປະເທດ</v>
      </c>
      <c r="G79" s="106">
        <v>26</v>
      </c>
      <c r="H79" s="97">
        <v>4900824</v>
      </c>
      <c r="I79" s="98">
        <f t="shared" si="16"/>
        <v>23561.653846153848</v>
      </c>
      <c r="J79" s="107">
        <f t="shared" si="17"/>
        <v>35342.480769230773</v>
      </c>
      <c r="K79" s="102"/>
      <c r="L79" s="99">
        <f t="shared" si="18"/>
        <v>0</v>
      </c>
      <c r="M79" s="108">
        <f t="shared" si="19"/>
        <v>47123.307692307695</v>
      </c>
      <c r="N79" s="102"/>
      <c r="O79" s="99">
        <f t="shared" si="20"/>
        <v>0</v>
      </c>
      <c r="P79" s="108">
        <f t="shared" si="21"/>
        <v>58904.134615384617</v>
      </c>
      <c r="Q79" s="102"/>
      <c r="R79" s="99">
        <f t="shared" si="22"/>
        <v>0</v>
      </c>
      <c r="S79" s="99">
        <f t="shared" si="23"/>
        <v>0</v>
      </c>
      <c r="T79" s="109"/>
      <c r="U79" s="109"/>
      <c r="V79" s="109"/>
    </row>
    <row r="80" spans="1:22">
      <c r="A80" s="102"/>
      <c r="B80" s="109" t="str">
        <v>MYL202606</v>
      </c>
      <c r="C80" s="104" t="str">
        <v>MISS MAION</v>
      </c>
      <c r="D80" s="104">
        <v>2078344522</v>
      </c>
      <c r="E80" s="104" t="str">
        <v>Assembly_PTS</v>
      </c>
      <c r="F80" s="105" t="str">
        <v>ພາຍໃນປະເທດ</v>
      </c>
      <c r="G80" s="106">
        <v>26</v>
      </c>
      <c r="H80" s="107">
        <v>2500000</v>
      </c>
      <c r="I80" s="98">
        <f t="shared" si="16"/>
        <v>12019.23076923077</v>
      </c>
      <c r="J80" s="107">
        <f t="shared" si="17"/>
        <v>18028.846153846156</v>
      </c>
      <c r="K80" s="102"/>
      <c r="L80" s="99">
        <f t="shared" si="18"/>
        <v>0</v>
      </c>
      <c r="M80" s="108">
        <f t="shared" si="19"/>
        <v>24038.461538461539</v>
      </c>
      <c r="N80" s="102"/>
      <c r="O80" s="99">
        <f t="shared" si="20"/>
        <v>0</v>
      </c>
      <c r="P80" s="108">
        <f t="shared" si="21"/>
        <v>30048.076923076922</v>
      </c>
      <c r="Q80" s="102"/>
      <c r="R80" s="99">
        <f t="shared" si="22"/>
        <v>0</v>
      </c>
      <c r="S80" s="99">
        <f t="shared" si="23"/>
        <v>0</v>
      </c>
      <c r="T80" s="109"/>
      <c r="U80" s="109"/>
      <c r="V80" s="109"/>
    </row>
    <row r="81" spans="1:22">
      <c r="A81" s="102"/>
      <c r="B81" s="109"/>
      <c r="C81" s="104"/>
      <c r="D81" s="104"/>
      <c r="E81" s="104"/>
      <c r="F81" s="105"/>
      <c r="G81" s="106"/>
      <c r="H81" s="107"/>
      <c r="I81" s="98"/>
      <c r="J81" s="107"/>
      <c r="K81" s="102"/>
      <c r="L81" s="110"/>
      <c r="M81" s="108"/>
      <c r="N81" s="102"/>
      <c r="O81" s="110"/>
      <c r="P81" s="108"/>
      <c r="Q81" s="102"/>
      <c r="R81" s="99">
        <f t="shared" si="22"/>
        <v>0</v>
      </c>
      <c r="S81" s="99">
        <f t="shared" si="23"/>
        <v>0</v>
      </c>
      <c r="T81" s="109"/>
      <c r="U81" s="109"/>
      <c r="V81" s="109"/>
    </row>
    <row r="82" spans="1:22">
      <c r="A82" s="102"/>
      <c r="B82" s="109"/>
      <c r="C82" s="104"/>
      <c r="D82" s="104"/>
      <c r="E82" s="104"/>
      <c r="F82" s="105"/>
      <c r="G82" s="106"/>
      <c r="H82" s="107"/>
      <c r="I82" s="98"/>
      <c r="J82" s="107"/>
      <c r="K82" s="102"/>
      <c r="L82" s="110"/>
      <c r="M82" s="108"/>
      <c r="N82" s="102"/>
      <c r="O82" s="110"/>
      <c r="P82" s="108"/>
      <c r="Q82" s="102"/>
      <c r="R82" s="110"/>
      <c r="S82" s="99">
        <f t="shared" si="23"/>
        <v>0</v>
      </c>
      <c r="T82" s="109"/>
      <c r="U82" s="109"/>
      <c r="V82" s="109"/>
    </row>
    <row r="83" spans="1:22">
      <c r="A83" s="102"/>
      <c r="B83" s="109"/>
      <c r="C83" s="104"/>
      <c r="D83" s="104"/>
      <c r="E83" s="104"/>
      <c r="F83" s="105"/>
      <c r="G83" s="106"/>
      <c r="H83" s="107"/>
      <c r="I83" s="98"/>
      <c r="J83" s="107"/>
      <c r="K83" s="102"/>
      <c r="L83" s="110"/>
      <c r="M83" s="108"/>
      <c r="N83" s="102"/>
      <c r="O83" s="110"/>
      <c r="P83" s="108"/>
      <c r="Q83" s="102"/>
      <c r="R83" s="110"/>
      <c r="S83" s="110"/>
      <c r="T83" s="109"/>
      <c r="U83" s="109"/>
      <c r="V83" s="109"/>
    </row>
    <row r="84" spans="1:22">
      <c r="A84" s="102"/>
      <c r="B84" s="109"/>
      <c r="C84" s="104"/>
      <c r="D84" s="104"/>
      <c r="E84" s="104"/>
      <c r="F84" s="105"/>
      <c r="G84" s="106"/>
      <c r="H84" s="107"/>
      <c r="I84" s="98"/>
      <c r="J84" s="107"/>
      <c r="K84" s="102"/>
      <c r="L84" s="110"/>
      <c r="M84" s="108"/>
      <c r="N84" s="102"/>
      <c r="O84" s="110"/>
      <c r="P84" s="108"/>
      <c r="Q84" s="102"/>
      <c r="R84" s="110"/>
      <c r="S84" s="110"/>
      <c r="T84" s="109"/>
      <c r="U84" s="109"/>
      <c r="V84" s="109"/>
    </row>
    <row r="85" spans="1:22">
      <c r="A85" s="102"/>
      <c r="B85" s="109"/>
      <c r="C85" s="104"/>
      <c r="D85" s="104"/>
      <c r="E85" s="104"/>
      <c r="F85" s="105"/>
      <c r="G85" s="106"/>
      <c r="H85" s="107"/>
      <c r="I85" s="98"/>
      <c r="J85" s="107"/>
      <c r="K85" s="102"/>
      <c r="L85" s="110"/>
      <c r="M85" s="108"/>
      <c r="N85" s="102"/>
      <c r="O85" s="110"/>
      <c r="P85" s="108"/>
      <c r="Q85" s="102"/>
      <c r="R85" s="110"/>
      <c r="S85" s="110"/>
      <c r="T85" s="109"/>
      <c r="U85" s="109"/>
      <c r="V85" s="109"/>
    </row>
    <row r="86" spans="1:22">
      <c r="A86" s="102"/>
      <c r="B86" s="109"/>
      <c r="C86" s="104"/>
      <c r="D86" s="104"/>
      <c r="E86" s="104"/>
      <c r="F86" s="105"/>
      <c r="G86" s="106"/>
      <c r="H86" s="107"/>
      <c r="I86" s="98"/>
      <c r="J86" s="107"/>
      <c r="K86" s="102"/>
      <c r="L86" s="110"/>
      <c r="M86" s="108"/>
      <c r="N86" s="102"/>
      <c r="O86" s="110"/>
      <c r="P86" s="108"/>
      <c r="Q86" s="102"/>
      <c r="R86" s="110"/>
      <c r="S86" s="110"/>
      <c r="T86" s="109"/>
      <c r="U86" s="109"/>
      <c r="V86" s="109"/>
    </row>
    <row r="87" spans="1:22">
      <c r="A87" s="102"/>
      <c r="B87" s="109"/>
      <c r="C87" s="104"/>
      <c r="D87" s="104"/>
      <c r="E87" s="104"/>
      <c r="F87" s="105"/>
      <c r="G87" s="106"/>
      <c r="H87" s="107"/>
      <c r="I87" s="98"/>
      <c r="J87" s="107"/>
      <c r="K87" s="102"/>
      <c r="L87" s="110"/>
      <c r="M87" s="108"/>
      <c r="N87" s="102"/>
      <c r="O87" s="110"/>
      <c r="P87" s="108"/>
      <c r="Q87" s="102"/>
      <c r="R87" s="110"/>
      <c r="S87" s="110"/>
      <c r="T87" s="109"/>
      <c r="U87" s="109"/>
      <c r="V87" s="109"/>
    </row>
    <row r="88" spans="1:22">
      <c r="A88" s="102"/>
      <c r="B88" s="109"/>
      <c r="C88" s="104"/>
      <c r="D88" s="104"/>
      <c r="E88" s="104"/>
      <c r="F88" s="105"/>
      <c r="G88" s="106"/>
      <c r="H88" s="107"/>
      <c r="I88" s="98"/>
      <c r="J88" s="107"/>
      <c r="K88" s="102"/>
      <c r="L88" s="110"/>
      <c r="M88" s="108"/>
      <c r="N88" s="102"/>
      <c r="O88" s="110"/>
      <c r="P88" s="108"/>
      <c r="Q88" s="102"/>
      <c r="R88" s="110"/>
      <c r="S88" s="110"/>
      <c r="T88" s="109"/>
      <c r="U88" s="109"/>
      <c r="V88" s="109"/>
    </row>
    <row r="89" spans="1:22">
      <c r="A89" s="102"/>
      <c r="B89" s="109"/>
      <c r="C89" s="104"/>
      <c r="D89" s="104"/>
      <c r="E89" s="104"/>
      <c r="F89" s="105"/>
      <c r="G89" s="106"/>
      <c r="H89" s="107"/>
      <c r="I89" s="98"/>
      <c r="J89" s="107"/>
      <c r="K89" s="102"/>
      <c r="L89" s="110"/>
      <c r="M89" s="108"/>
      <c r="N89" s="102"/>
      <c r="O89" s="110"/>
      <c r="P89" s="108"/>
      <c r="Q89" s="102"/>
      <c r="R89" s="110"/>
      <c r="S89" s="110"/>
      <c r="T89" s="109"/>
      <c r="U89" s="109"/>
      <c r="V89" s="109"/>
    </row>
    <row r="90" spans="1:22">
      <c r="A90" s="102"/>
      <c r="B90" s="109"/>
      <c r="C90" s="104"/>
      <c r="D90" s="104"/>
      <c r="E90" s="104"/>
      <c r="F90" s="105"/>
      <c r="G90" s="106"/>
      <c r="H90" s="107"/>
      <c r="I90" s="98"/>
      <c r="J90" s="107"/>
      <c r="K90" s="102"/>
      <c r="L90" s="110"/>
      <c r="M90" s="108"/>
      <c r="N90" s="102"/>
      <c r="O90" s="110"/>
      <c r="P90" s="108"/>
      <c r="Q90" s="102"/>
      <c r="R90" s="110"/>
      <c r="S90" s="110"/>
      <c r="T90" s="109"/>
      <c r="U90" s="109"/>
      <c r="V90" s="109"/>
    </row>
    <row r="91" spans="1:22">
      <c r="A91" s="102"/>
      <c r="B91" s="109"/>
      <c r="C91" s="104"/>
      <c r="D91" s="104"/>
      <c r="E91" s="104"/>
      <c r="F91" s="105"/>
      <c r="G91" s="106"/>
      <c r="H91" s="107"/>
      <c r="I91" s="98"/>
      <c r="J91" s="107"/>
      <c r="K91" s="102"/>
      <c r="L91" s="110"/>
      <c r="M91" s="108"/>
      <c r="N91" s="102"/>
      <c r="O91" s="110"/>
      <c r="P91" s="108"/>
      <c r="Q91" s="102"/>
      <c r="R91" s="110"/>
      <c r="S91" s="110"/>
      <c r="T91" s="109"/>
      <c r="U91" s="109"/>
      <c r="V91" s="109"/>
    </row>
    <row r="92" spans="1:22">
      <c r="A92" s="102"/>
      <c r="B92" s="109"/>
      <c r="C92" s="104"/>
      <c r="D92" s="104"/>
      <c r="E92" s="104"/>
      <c r="F92" s="105"/>
      <c r="G92" s="106"/>
      <c r="H92" s="107"/>
      <c r="I92" s="98"/>
      <c r="J92" s="107"/>
      <c r="K92" s="102"/>
      <c r="L92" s="110"/>
      <c r="M92" s="108"/>
      <c r="N92" s="102"/>
      <c r="O92" s="110"/>
      <c r="P92" s="108"/>
      <c r="Q92" s="102"/>
      <c r="R92" s="110"/>
      <c r="S92" s="110"/>
      <c r="T92" s="109"/>
      <c r="U92" s="109"/>
      <c r="V92" s="109"/>
    </row>
    <row r="93" spans="1:22">
      <c r="A93" s="102"/>
      <c r="B93" s="109"/>
      <c r="C93" s="104"/>
      <c r="D93" s="104"/>
      <c r="E93" s="104"/>
      <c r="F93" s="105"/>
      <c r="G93" s="106"/>
      <c r="H93" s="107"/>
      <c r="I93" s="98"/>
      <c r="J93" s="107"/>
      <c r="K93" s="102"/>
      <c r="L93" s="110"/>
      <c r="M93" s="108"/>
      <c r="N93" s="102"/>
      <c r="O93" s="110"/>
      <c r="P93" s="108"/>
      <c r="Q93" s="102"/>
      <c r="R93" s="110"/>
      <c r="S93" s="110"/>
      <c r="T93" s="109"/>
      <c r="U93" s="109"/>
      <c r="V93" s="109"/>
    </row>
    <row r="94" spans="1:22">
      <c r="A94" s="102"/>
      <c r="B94" s="109"/>
      <c r="C94" s="104"/>
      <c r="D94" s="104"/>
      <c r="E94" s="104"/>
      <c r="F94" s="105"/>
      <c r="G94" s="106"/>
      <c r="H94" s="107"/>
      <c r="I94" s="98"/>
      <c r="J94" s="107"/>
      <c r="K94" s="102"/>
      <c r="L94" s="110"/>
      <c r="M94" s="108"/>
      <c r="N94" s="102"/>
      <c r="O94" s="110"/>
      <c r="P94" s="108"/>
      <c r="Q94" s="102"/>
      <c r="R94" s="110"/>
      <c r="S94" s="110"/>
      <c r="T94" s="109"/>
      <c r="U94" s="109"/>
      <c r="V94" s="109"/>
    </row>
    <row r="95" spans="1:22">
      <c r="A95" s="102"/>
      <c r="B95" s="109"/>
      <c r="C95" s="104"/>
      <c r="D95" s="104"/>
      <c r="E95" s="104"/>
      <c r="F95" s="105"/>
      <c r="G95" s="106"/>
      <c r="H95" s="107"/>
      <c r="I95" s="98"/>
      <c r="J95" s="107"/>
      <c r="K95" s="102"/>
      <c r="L95" s="110"/>
      <c r="M95" s="108"/>
      <c r="N95" s="102"/>
      <c r="O95" s="110"/>
      <c r="P95" s="108"/>
      <c r="Q95" s="102"/>
      <c r="R95" s="110"/>
      <c r="S95" s="110"/>
      <c r="T95" s="109"/>
      <c r="U95" s="109"/>
      <c r="V95" s="109"/>
    </row>
    <row r="96" spans="1:22">
      <c r="A96" s="102"/>
      <c r="B96" s="109"/>
      <c r="C96" s="104"/>
      <c r="D96" s="104"/>
      <c r="E96" s="104"/>
      <c r="F96" s="105"/>
      <c r="G96" s="106"/>
      <c r="H96" s="107"/>
      <c r="I96" s="98"/>
      <c r="J96" s="107"/>
      <c r="K96" s="102"/>
      <c r="L96" s="110"/>
      <c r="M96" s="108"/>
      <c r="N96" s="102"/>
      <c r="O96" s="110"/>
      <c r="P96" s="108"/>
      <c r="Q96" s="102"/>
      <c r="R96" s="110"/>
      <c r="S96" s="110"/>
      <c r="T96" s="109"/>
      <c r="U96" s="109"/>
      <c r="V96" s="109"/>
    </row>
    <row r="97" spans="1:22">
      <c r="A97" s="102"/>
      <c r="B97" s="109"/>
      <c r="C97" s="104"/>
      <c r="D97" s="104"/>
      <c r="E97" s="104"/>
      <c r="F97" s="105"/>
      <c r="G97" s="106"/>
      <c r="H97" s="107"/>
      <c r="I97" s="98"/>
      <c r="J97" s="107"/>
      <c r="K97" s="102"/>
      <c r="L97" s="110"/>
      <c r="M97" s="108"/>
      <c r="N97" s="102"/>
      <c r="O97" s="110"/>
      <c r="P97" s="108"/>
      <c r="Q97" s="102"/>
      <c r="R97" s="110"/>
      <c r="S97" s="110"/>
      <c r="T97" s="109"/>
      <c r="U97" s="109"/>
      <c r="V97" s="109"/>
    </row>
    <row r="98" spans="1:22">
      <c r="A98" s="102"/>
      <c r="B98" s="109"/>
      <c r="C98" s="104"/>
      <c r="D98" s="104"/>
      <c r="E98" s="104"/>
      <c r="F98" s="105"/>
      <c r="G98" s="106"/>
      <c r="H98" s="107"/>
      <c r="I98" s="98"/>
      <c r="J98" s="107"/>
      <c r="K98" s="102"/>
      <c r="L98" s="110"/>
      <c r="M98" s="108"/>
      <c r="N98" s="102"/>
      <c r="O98" s="110"/>
      <c r="P98" s="108"/>
      <c r="Q98" s="102"/>
      <c r="R98" s="110"/>
      <c r="S98" s="110"/>
      <c r="T98" s="109"/>
      <c r="U98" s="109"/>
      <c r="V98" s="109"/>
    </row>
    <row r="99" spans="1:22">
      <c r="A99" s="102"/>
      <c r="B99" s="109"/>
      <c r="C99" s="104"/>
      <c r="D99" s="104"/>
      <c r="E99" s="104"/>
      <c r="F99" s="105"/>
      <c r="G99" s="106"/>
      <c r="H99" s="107"/>
      <c r="I99" s="98"/>
      <c r="J99" s="107"/>
      <c r="K99" s="102"/>
      <c r="L99" s="110"/>
      <c r="M99" s="108"/>
      <c r="N99" s="102"/>
      <c r="O99" s="110"/>
      <c r="P99" s="108"/>
      <c r="Q99" s="102"/>
      <c r="R99" s="110"/>
      <c r="S99" s="110"/>
      <c r="T99" s="109"/>
      <c r="U99" s="109"/>
      <c r="V99" s="109"/>
    </row>
    <row r="100" spans="1:22">
      <c r="A100" s="102"/>
      <c r="B100" s="109"/>
      <c r="C100" s="104"/>
      <c r="D100" s="104"/>
      <c r="E100" s="104"/>
      <c r="F100" s="105"/>
      <c r="G100" s="106"/>
      <c r="H100" s="107"/>
      <c r="I100" s="98"/>
      <c r="J100" s="107"/>
      <c r="K100" s="102"/>
      <c r="L100" s="110"/>
      <c r="M100" s="108"/>
      <c r="N100" s="102"/>
      <c r="O100" s="110"/>
      <c r="P100" s="108"/>
      <c r="Q100" s="102"/>
      <c r="R100" s="110"/>
      <c r="S100" s="110"/>
      <c r="T100" s="109"/>
      <c r="U100" s="109"/>
      <c r="V100" s="109"/>
    </row>
    <row r="101" spans="1:22">
      <c r="A101" s="102"/>
      <c r="B101" s="109"/>
      <c r="C101" s="104"/>
      <c r="D101" s="104"/>
      <c r="E101" s="104"/>
      <c r="F101" s="105"/>
      <c r="G101" s="106"/>
      <c r="H101" s="107"/>
      <c r="I101" s="98"/>
      <c r="J101" s="107"/>
      <c r="K101" s="102"/>
      <c r="L101" s="110"/>
      <c r="M101" s="108"/>
      <c r="N101" s="102"/>
      <c r="O101" s="110"/>
      <c r="P101" s="108"/>
      <c r="Q101" s="102"/>
      <c r="R101" s="110"/>
      <c r="S101" s="110"/>
      <c r="T101" s="109"/>
      <c r="U101" s="109"/>
      <c r="V101" s="109"/>
    </row>
    <row r="102" spans="1:22">
      <c r="A102" s="102"/>
      <c r="B102" s="109"/>
      <c r="C102" s="104"/>
      <c r="D102" s="104"/>
      <c r="E102" s="104"/>
      <c r="F102" s="105"/>
      <c r="G102" s="106"/>
      <c r="H102" s="107"/>
      <c r="I102" s="98"/>
      <c r="J102" s="107"/>
      <c r="K102" s="102"/>
      <c r="L102" s="110"/>
      <c r="M102" s="108"/>
      <c r="N102" s="102"/>
      <c r="O102" s="110"/>
      <c r="P102" s="108"/>
      <c r="Q102" s="102"/>
      <c r="R102" s="110"/>
      <c r="S102" s="110"/>
      <c r="T102" s="109"/>
      <c r="U102" s="109"/>
      <c r="V102" s="109"/>
    </row>
    <row r="103" spans="1:22">
      <c r="A103" s="102"/>
      <c r="B103" s="109"/>
      <c r="C103" s="104"/>
      <c r="D103" s="104"/>
      <c r="E103" s="104"/>
      <c r="F103" s="105"/>
      <c r="G103" s="106"/>
      <c r="H103" s="107"/>
      <c r="I103" s="98"/>
      <c r="J103" s="107"/>
      <c r="K103" s="102"/>
      <c r="L103" s="110"/>
      <c r="M103" s="108"/>
      <c r="N103" s="102"/>
      <c r="O103" s="110"/>
      <c r="P103" s="108"/>
      <c r="Q103" s="102"/>
      <c r="R103" s="110"/>
      <c r="S103" s="110"/>
      <c r="T103" s="109"/>
      <c r="U103" s="109"/>
      <c r="V103" s="109"/>
    </row>
    <row r="104" spans="1:22">
      <c r="A104" s="102"/>
      <c r="B104" s="109"/>
      <c r="C104" s="104"/>
      <c r="D104" s="104"/>
      <c r="E104" s="104"/>
      <c r="F104" s="105"/>
      <c r="G104" s="106"/>
      <c r="H104" s="107"/>
      <c r="I104" s="98"/>
      <c r="J104" s="107"/>
      <c r="K104" s="102"/>
      <c r="L104" s="110"/>
      <c r="M104" s="108"/>
      <c r="N104" s="102"/>
      <c r="O104" s="110"/>
      <c r="P104" s="108"/>
      <c r="Q104" s="102"/>
      <c r="R104" s="110"/>
      <c r="S104" s="110"/>
      <c r="T104" s="109"/>
      <c r="U104" s="109"/>
      <c r="V104" s="109"/>
    </row>
    <row r="105" spans="1:22">
      <c r="A105" s="102"/>
      <c r="B105" s="109"/>
      <c r="C105" s="104"/>
      <c r="D105" s="104"/>
      <c r="E105" s="104"/>
      <c r="F105" s="105"/>
      <c r="G105" s="106"/>
      <c r="H105" s="107"/>
      <c r="I105" s="98"/>
      <c r="J105" s="107"/>
      <c r="K105" s="102"/>
      <c r="L105" s="110"/>
      <c r="M105" s="108"/>
      <c r="N105" s="102"/>
      <c r="O105" s="110"/>
      <c r="P105" s="108"/>
      <c r="Q105" s="102"/>
      <c r="R105" s="110"/>
      <c r="S105" s="110"/>
      <c r="T105" s="109"/>
      <c r="U105" s="109"/>
      <c r="V105" s="109"/>
    </row>
    <row r="106" spans="1:22">
      <c r="A106" s="102"/>
      <c r="B106" s="109"/>
      <c r="C106" s="104"/>
      <c r="D106" s="104"/>
      <c r="E106" s="104"/>
      <c r="F106" s="105"/>
      <c r="G106" s="106"/>
      <c r="H106" s="107"/>
      <c r="I106" s="98"/>
      <c r="J106" s="107"/>
      <c r="K106" s="102"/>
      <c r="L106" s="110"/>
      <c r="M106" s="108"/>
      <c r="N106" s="102"/>
      <c r="O106" s="110"/>
      <c r="P106" s="108"/>
      <c r="Q106" s="102"/>
      <c r="R106" s="110"/>
      <c r="S106" s="110"/>
      <c r="T106" s="109"/>
      <c r="U106" s="109"/>
      <c r="V106" s="109"/>
    </row>
    <row r="107" spans="1:22">
      <c r="A107" s="102"/>
      <c r="B107" s="109"/>
      <c r="C107" s="104"/>
      <c r="D107" s="104"/>
      <c r="E107" s="104"/>
      <c r="F107" s="105"/>
      <c r="G107" s="106"/>
      <c r="H107" s="107"/>
      <c r="I107" s="98"/>
      <c r="J107" s="107"/>
      <c r="K107" s="102"/>
      <c r="L107" s="110"/>
      <c r="M107" s="108"/>
      <c r="N107" s="102"/>
      <c r="O107" s="110"/>
      <c r="P107" s="108"/>
      <c r="Q107" s="102"/>
      <c r="R107" s="110"/>
      <c r="S107" s="110"/>
      <c r="T107" s="109"/>
      <c r="U107" s="109"/>
      <c r="V107" s="109"/>
    </row>
    <row r="108" spans="1:22">
      <c r="A108" s="102"/>
      <c r="B108" s="109"/>
      <c r="C108" s="104"/>
      <c r="D108" s="104"/>
      <c r="E108" s="104"/>
      <c r="F108" s="105"/>
      <c r="G108" s="106"/>
      <c r="H108" s="107"/>
      <c r="I108" s="98"/>
      <c r="J108" s="107"/>
      <c r="K108" s="102"/>
      <c r="L108" s="110"/>
      <c r="M108" s="108"/>
      <c r="N108" s="102"/>
      <c r="O108" s="110"/>
      <c r="P108" s="108"/>
      <c r="Q108" s="102"/>
      <c r="R108" s="110"/>
      <c r="S108" s="110"/>
      <c r="T108" s="109"/>
      <c r="U108" s="109"/>
      <c r="V108" s="109"/>
    </row>
    <row r="109" spans="1:22">
      <c r="A109" s="102"/>
      <c r="B109" s="109"/>
      <c r="C109" s="104"/>
      <c r="D109" s="104"/>
      <c r="E109" s="104"/>
      <c r="F109" s="105"/>
      <c r="G109" s="106"/>
      <c r="H109" s="107"/>
      <c r="I109" s="98"/>
      <c r="J109" s="107"/>
      <c r="K109" s="102"/>
      <c r="L109" s="110"/>
      <c r="M109" s="108"/>
      <c r="N109" s="102"/>
      <c r="O109" s="110"/>
      <c r="P109" s="108"/>
      <c r="Q109" s="102"/>
      <c r="R109" s="110"/>
      <c r="S109" s="110"/>
      <c r="T109" s="109"/>
      <c r="U109" s="109"/>
      <c r="V109" s="109"/>
    </row>
    <row r="110" spans="1:22">
      <c r="A110" s="102"/>
      <c r="B110" s="109"/>
      <c r="C110" s="104"/>
      <c r="D110" s="104"/>
      <c r="E110" s="104"/>
      <c r="F110" s="105"/>
      <c r="G110" s="106"/>
      <c r="H110" s="107"/>
      <c r="I110" s="98"/>
      <c r="J110" s="107"/>
      <c r="K110" s="102"/>
      <c r="L110" s="110"/>
      <c r="M110" s="108"/>
      <c r="N110" s="102"/>
      <c r="O110" s="110"/>
      <c r="P110" s="108"/>
      <c r="Q110" s="102"/>
      <c r="R110" s="110"/>
      <c r="S110" s="110"/>
      <c r="T110" s="109"/>
      <c r="U110" s="109"/>
      <c r="V110" s="109"/>
    </row>
    <row r="111" spans="1:22">
      <c r="A111" s="102"/>
      <c r="B111" s="109"/>
      <c r="C111" s="104"/>
      <c r="D111" s="104"/>
      <c r="E111" s="104"/>
      <c r="F111" s="105"/>
      <c r="G111" s="106"/>
      <c r="H111" s="107"/>
      <c r="I111" s="98"/>
      <c r="J111" s="107"/>
      <c r="K111" s="102"/>
      <c r="L111" s="110"/>
      <c r="M111" s="108"/>
      <c r="N111" s="102"/>
      <c r="O111" s="110"/>
      <c r="P111" s="108"/>
      <c r="Q111" s="102"/>
      <c r="R111" s="110"/>
      <c r="S111" s="110"/>
      <c r="T111" s="109"/>
      <c r="U111" s="109"/>
      <c r="V111" s="109"/>
    </row>
    <row r="112" spans="1:22">
      <c r="A112" s="102"/>
      <c r="B112" s="109"/>
      <c r="C112" s="104"/>
      <c r="D112" s="104"/>
      <c r="E112" s="104"/>
      <c r="F112" s="105"/>
      <c r="G112" s="106"/>
      <c r="H112" s="107"/>
      <c r="I112" s="98"/>
      <c r="J112" s="107"/>
      <c r="K112" s="102"/>
      <c r="L112" s="110"/>
      <c r="M112" s="108"/>
      <c r="N112" s="102"/>
      <c r="O112" s="110"/>
      <c r="P112" s="108"/>
      <c r="Q112" s="102"/>
      <c r="R112" s="110"/>
      <c r="S112" s="110"/>
      <c r="T112" s="109"/>
      <c r="U112" s="109"/>
      <c r="V112" s="109"/>
    </row>
    <row r="113" spans="1:22">
      <c r="A113" s="102"/>
      <c r="B113" s="109"/>
      <c r="C113" s="104"/>
      <c r="D113" s="104"/>
      <c r="E113" s="104"/>
      <c r="F113" s="105"/>
      <c r="G113" s="106"/>
      <c r="H113" s="107"/>
      <c r="I113" s="98"/>
      <c r="J113" s="107"/>
      <c r="K113" s="102"/>
      <c r="L113" s="110"/>
      <c r="M113" s="108"/>
      <c r="N113" s="102"/>
      <c r="O113" s="110"/>
      <c r="P113" s="108"/>
      <c r="Q113" s="102"/>
      <c r="R113" s="110"/>
      <c r="S113" s="110"/>
      <c r="T113" s="109"/>
      <c r="U113" s="109"/>
      <c r="V113" s="109"/>
    </row>
    <row r="114" spans="1:22">
      <c r="A114" s="102"/>
      <c r="B114" s="109"/>
      <c r="C114" s="104"/>
      <c r="D114" s="104"/>
      <c r="E114" s="104"/>
      <c r="F114" s="105"/>
      <c r="G114" s="106"/>
      <c r="H114" s="107"/>
      <c r="I114" s="98"/>
      <c r="J114" s="107"/>
      <c r="K114" s="102"/>
      <c r="L114" s="110"/>
      <c r="M114" s="108"/>
      <c r="N114" s="102"/>
      <c r="O114" s="110"/>
      <c r="P114" s="108"/>
      <c r="Q114" s="102"/>
      <c r="R114" s="110"/>
      <c r="S114" s="110"/>
      <c r="T114" s="109"/>
      <c r="U114" s="109"/>
      <c r="V114" s="109"/>
    </row>
    <row r="115" spans="1:22">
      <c r="A115" s="102"/>
      <c r="B115" s="109"/>
      <c r="C115" s="104"/>
      <c r="D115" s="104"/>
      <c r="E115" s="104"/>
      <c r="F115" s="105"/>
      <c r="G115" s="106"/>
      <c r="H115" s="107"/>
      <c r="I115" s="98"/>
      <c r="J115" s="107"/>
      <c r="K115" s="102"/>
      <c r="L115" s="110"/>
      <c r="M115" s="108"/>
      <c r="N115" s="102"/>
      <c r="O115" s="110"/>
      <c r="P115" s="108"/>
      <c r="Q115" s="102"/>
      <c r="R115" s="110"/>
      <c r="S115" s="110"/>
      <c r="T115" s="109"/>
      <c r="U115" s="109"/>
      <c r="V115" s="109"/>
    </row>
    <row r="116" spans="1:22">
      <c r="A116" s="102"/>
      <c r="B116" s="109"/>
      <c r="C116" s="104"/>
      <c r="D116" s="104"/>
      <c r="E116" s="104"/>
      <c r="F116" s="105"/>
      <c r="G116" s="106"/>
      <c r="H116" s="107"/>
      <c r="I116" s="98"/>
      <c r="J116" s="107"/>
      <c r="K116" s="102"/>
      <c r="L116" s="110"/>
      <c r="M116" s="108"/>
      <c r="N116" s="102"/>
      <c r="O116" s="110"/>
      <c r="P116" s="108"/>
      <c r="Q116" s="102"/>
      <c r="R116" s="110"/>
      <c r="S116" s="110"/>
      <c r="T116" s="109"/>
      <c r="U116" s="109"/>
      <c r="V116" s="109"/>
    </row>
    <row r="117" spans="1:22" ht="30.75" customHeight="1">
      <c r="A117" s="111"/>
      <c r="B117" s="112" t="s">
        <v>273</v>
      </c>
      <c r="C117" s="113"/>
      <c r="D117" s="113"/>
      <c r="E117" s="113"/>
      <c r="F117" s="114"/>
      <c r="G117" s="115">
        <f t="shared" ref="G117:V117" si="24">SUBTOTAL(109,G8:G115)</f>
        <v>1898</v>
      </c>
      <c r="H117" s="115">
        <f t="shared" si="24"/>
        <v>425642429.648</v>
      </c>
      <c r="I117" s="115">
        <f t="shared" si="24"/>
        <v>2046357.8348461525</v>
      </c>
      <c r="J117" s="115">
        <f t="shared" si="24"/>
        <v>3069536.7522692289</v>
      </c>
      <c r="K117" s="115">
        <f t="shared" si="24"/>
        <v>31</v>
      </c>
      <c r="L117" s="115">
        <f t="shared" si="24"/>
        <v>623329.32692307688</v>
      </c>
      <c r="M117" s="115">
        <f t="shared" si="24"/>
        <v>4092715.6696923049</v>
      </c>
      <c r="N117" s="115">
        <f t="shared" si="24"/>
        <v>0</v>
      </c>
      <c r="O117" s="115">
        <f t="shared" si="24"/>
        <v>0</v>
      </c>
      <c r="P117" s="115">
        <f t="shared" si="24"/>
        <v>5115894.5871153865</v>
      </c>
      <c r="Q117" s="115">
        <f t="shared" si="24"/>
        <v>0</v>
      </c>
      <c r="R117" s="115">
        <f t="shared" si="24"/>
        <v>0</v>
      </c>
      <c r="S117" s="115">
        <f t="shared" si="24"/>
        <v>623329.32692307688</v>
      </c>
      <c r="T117" s="115">
        <f t="shared" si="24"/>
        <v>0</v>
      </c>
      <c r="U117" s="115">
        <f t="shared" si="24"/>
        <v>0</v>
      </c>
      <c r="V117" s="115">
        <f t="shared" si="24"/>
        <v>0</v>
      </c>
    </row>
    <row r="118" spans="1:22">
      <c r="B118" s="24"/>
      <c r="C118" s="40"/>
      <c r="D118" s="40"/>
      <c r="E118" s="40"/>
      <c r="F118" s="77"/>
      <c r="G118" s="77"/>
      <c r="H118" s="78"/>
      <c r="I118" s="6"/>
      <c r="J118" s="6"/>
      <c r="K118" s="79"/>
      <c r="N118" s="79"/>
      <c r="Q118" s="67"/>
    </row>
    <row r="119" spans="1:22">
      <c r="B119" s="24"/>
      <c r="C119" s="40"/>
      <c r="D119" s="40"/>
      <c r="E119" s="40"/>
      <c r="F119" s="77"/>
      <c r="G119" s="77"/>
      <c r="H119" s="78"/>
      <c r="I119" s="6"/>
      <c r="J119" s="6"/>
      <c r="K119" s="79"/>
      <c r="N119" s="79"/>
      <c r="Q119" s="67"/>
      <c r="R119" s="116"/>
    </row>
    <row r="120" spans="1:22">
      <c r="B120" s="24"/>
      <c r="C120" s="40"/>
      <c r="D120" s="40"/>
      <c r="E120" s="40"/>
      <c r="F120" s="77"/>
      <c r="G120" s="77"/>
      <c r="H120" s="78"/>
      <c r="I120" s="6"/>
      <c r="J120" s="6"/>
      <c r="K120" s="79"/>
      <c r="N120" s="79"/>
      <c r="Q120" s="67"/>
    </row>
    <row r="121" spans="1:22">
      <c r="B121" s="24"/>
      <c r="C121" s="40"/>
      <c r="D121" s="40"/>
      <c r="E121" s="40"/>
      <c r="F121" s="77"/>
      <c r="G121" s="77"/>
      <c r="H121" s="78"/>
      <c r="I121" s="6"/>
      <c r="J121" s="6"/>
      <c r="K121" s="79"/>
      <c r="N121" s="79"/>
      <c r="Q121" s="67"/>
    </row>
    <row r="122" spans="1:22">
      <c r="A122" s="67"/>
      <c r="C122" s="40"/>
      <c r="D122" s="40"/>
      <c r="E122" s="40"/>
      <c r="F122" s="77"/>
      <c r="G122" s="77"/>
      <c r="H122" s="78"/>
      <c r="I122" s="6"/>
      <c r="J122" s="6"/>
      <c r="K122" s="79"/>
      <c r="N122" s="79"/>
      <c r="Q122" s="67"/>
    </row>
    <row r="123" spans="1:22" ht="15.6">
      <c r="A123" s="67"/>
      <c r="B123" s="68"/>
      <c r="C123" s="40"/>
      <c r="D123" s="40"/>
      <c r="E123" s="40"/>
      <c r="F123" s="77"/>
      <c r="G123" s="77"/>
      <c r="H123" s="78"/>
      <c r="I123" s="6"/>
      <c r="J123" s="6"/>
      <c r="K123" s="79"/>
      <c r="N123" s="79"/>
      <c r="Q123" s="67"/>
    </row>
    <row r="124" spans="1:22" ht="15.6">
      <c r="A124" s="67"/>
      <c r="B124" s="68"/>
      <c r="C124" s="40"/>
      <c r="D124" s="40"/>
      <c r="E124" s="40"/>
      <c r="F124" s="77"/>
      <c r="G124" s="77"/>
      <c r="H124" s="78"/>
      <c r="I124" s="6"/>
      <c r="J124" s="6"/>
      <c r="K124" s="79"/>
      <c r="N124" s="79"/>
      <c r="Q124" s="67"/>
    </row>
    <row r="125" spans="1:22" ht="15.6">
      <c r="A125" s="67"/>
      <c r="B125" s="68"/>
      <c r="C125" s="40"/>
      <c r="D125" s="40"/>
      <c r="E125" s="40"/>
      <c r="F125" s="77"/>
      <c r="G125" s="77"/>
      <c r="H125" s="78"/>
      <c r="I125" s="6"/>
      <c r="J125" s="6"/>
      <c r="K125" s="79"/>
      <c r="N125" s="79"/>
      <c r="Q125" s="67"/>
    </row>
    <row r="126" spans="1:22" ht="15.6">
      <c r="A126" s="67"/>
      <c r="B126" s="68"/>
      <c r="C126" s="40"/>
      <c r="D126" s="40"/>
      <c r="E126" s="40"/>
      <c r="F126" s="77"/>
      <c r="G126" s="77"/>
      <c r="H126" s="78"/>
      <c r="I126" s="6"/>
      <c r="J126" s="6"/>
      <c r="K126" s="79"/>
      <c r="N126" s="79"/>
      <c r="Q126" s="67"/>
    </row>
    <row r="127" spans="1:22" ht="15.6">
      <c r="A127" s="67"/>
      <c r="B127" s="68"/>
      <c r="C127" s="40"/>
      <c r="D127" s="40"/>
      <c r="E127" s="40"/>
      <c r="F127" s="77"/>
      <c r="G127" s="77"/>
      <c r="H127" s="78"/>
      <c r="I127" s="6"/>
      <c r="J127" s="6"/>
      <c r="K127" s="79"/>
      <c r="N127" s="79"/>
      <c r="Q127" s="67"/>
    </row>
    <row r="128" spans="1:22" ht="15.6">
      <c r="A128" s="67"/>
      <c r="B128" s="68"/>
      <c r="C128" s="40"/>
      <c r="D128" s="40"/>
      <c r="E128" s="40"/>
      <c r="F128" s="77"/>
      <c r="G128" s="77"/>
      <c r="H128" s="78"/>
      <c r="I128" s="6"/>
      <c r="J128" s="6"/>
      <c r="K128" s="79"/>
      <c r="N128" s="79"/>
      <c r="Q128" s="67"/>
    </row>
    <row r="129" spans="1:17" ht="15.6">
      <c r="A129" s="67"/>
      <c r="B129" s="68"/>
      <c r="C129" s="40"/>
      <c r="D129" s="40"/>
      <c r="E129" s="40"/>
      <c r="F129" s="77"/>
      <c r="G129" s="77"/>
      <c r="H129" s="78"/>
      <c r="I129" s="6"/>
      <c r="J129" s="6"/>
      <c r="K129" s="79"/>
      <c r="N129" s="79"/>
      <c r="Q129" s="67"/>
    </row>
    <row r="130" spans="1:17" ht="15.6">
      <c r="A130" s="67"/>
      <c r="B130" s="68"/>
      <c r="C130" s="40"/>
      <c r="D130" s="40"/>
      <c r="E130" s="40"/>
      <c r="F130" s="77"/>
      <c r="G130" s="77"/>
      <c r="H130" s="78"/>
      <c r="I130" s="6"/>
      <c r="J130" s="6"/>
      <c r="K130" s="79"/>
      <c r="N130" s="79"/>
      <c r="Q130" s="67"/>
    </row>
    <row r="131" spans="1:17" ht="15.6">
      <c r="A131" s="67"/>
      <c r="B131" s="68"/>
      <c r="C131" s="40"/>
      <c r="D131" s="40"/>
      <c r="E131" s="40"/>
      <c r="F131" s="77"/>
      <c r="G131" s="77"/>
      <c r="H131" s="78"/>
      <c r="I131" s="6"/>
      <c r="J131" s="6"/>
      <c r="K131" s="79"/>
      <c r="N131" s="79"/>
      <c r="Q131" s="67"/>
    </row>
    <row r="132" spans="1:17" ht="15.6">
      <c r="A132" s="67"/>
      <c r="B132" s="68"/>
      <c r="C132" s="40"/>
      <c r="D132" s="40"/>
      <c r="E132" s="40"/>
      <c r="F132" s="77"/>
      <c r="G132" s="77"/>
      <c r="H132" s="78"/>
      <c r="I132" s="6"/>
      <c r="J132" s="6"/>
      <c r="K132" s="79"/>
      <c r="N132" s="79"/>
      <c r="Q132" s="67"/>
    </row>
    <row r="133" spans="1:17" ht="15.6">
      <c r="A133" s="67"/>
      <c r="B133" s="68"/>
      <c r="C133" s="40"/>
      <c r="D133" s="40"/>
      <c r="E133" s="40"/>
      <c r="F133" s="77"/>
      <c r="G133" s="77"/>
      <c r="H133" s="78"/>
      <c r="I133" s="6"/>
      <c r="J133" s="6"/>
      <c r="K133" s="79"/>
      <c r="N133" s="79"/>
      <c r="Q133" s="67"/>
    </row>
    <row r="134" spans="1:17" ht="15.6">
      <c r="A134" s="67"/>
      <c r="B134" s="68"/>
      <c r="C134" s="40"/>
      <c r="D134" s="40"/>
      <c r="E134" s="40"/>
      <c r="F134" s="77"/>
      <c r="G134" s="77"/>
      <c r="H134" s="78"/>
      <c r="I134" s="6"/>
      <c r="J134" s="6"/>
      <c r="K134" s="79"/>
      <c r="N134" s="79"/>
      <c r="Q134" s="67"/>
    </row>
    <row r="135" spans="1:17" ht="15.6">
      <c r="A135" s="67"/>
      <c r="B135" s="68"/>
      <c r="C135" s="40"/>
      <c r="D135" s="40"/>
      <c r="E135" s="40"/>
      <c r="F135" s="77"/>
      <c r="G135" s="77"/>
      <c r="H135" s="78"/>
      <c r="I135" s="6"/>
      <c r="J135" s="6"/>
      <c r="K135" s="79"/>
      <c r="N135" s="79"/>
      <c r="Q135" s="67"/>
    </row>
    <row r="136" spans="1:17" ht="15.6">
      <c r="A136" s="67"/>
      <c r="B136" s="68"/>
      <c r="C136" s="40"/>
      <c r="D136" s="40"/>
      <c r="E136" s="40"/>
      <c r="F136" s="77"/>
      <c r="G136" s="77"/>
      <c r="H136" s="78"/>
      <c r="I136" s="6"/>
      <c r="J136" s="6"/>
      <c r="K136" s="79"/>
      <c r="N136" s="79"/>
      <c r="Q136" s="67"/>
    </row>
    <row r="137" spans="1:17" ht="15.6">
      <c r="A137" s="67"/>
      <c r="B137" s="68"/>
      <c r="C137" s="40"/>
      <c r="D137" s="40"/>
      <c r="E137" s="40"/>
      <c r="F137" s="77"/>
      <c r="G137" s="77"/>
      <c r="H137" s="78"/>
      <c r="I137" s="6"/>
      <c r="J137" s="6"/>
      <c r="K137" s="79"/>
      <c r="N137" s="79"/>
      <c r="Q137" s="67"/>
    </row>
    <row r="138" spans="1:17" ht="15.6">
      <c r="A138" s="67"/>
      <c r="B138" s="68"/>
      <c r="C138" s="40"/>
      <c r="D138" s="40"/>
      <c r="E138" s="40"/>
      <c r="F138" s="77"/>
      <c r="G138" s="77"/>
      <c r="H138" s="78"/>
      <c r="I138" s="6"/>
      <c r="J138" s="6"/>
      <c r="K138" s="79"/>
      <c r="N138" s="79"/>
      <c r="Q138" s="67"/>
    </row>
    <row r="139" spans="1:17" ht="15.6">
      <c r="A139" s="67"/>
      <c r="B139" s="68"/>
      <c r="C139" s="40"/>
      <c r="D139" s="40"/>
      <c r="E139" s="40"/>
      <c r="F139" s="77"/>
      <c r="G139" s="77"/>
      <c r="H139" s="78"/>
      <c r="I139" s="6"/>
      <c r="J139" s="6"/>
      <c r="K139" s="79"/>
      <c r="N139" s="79"/>
      <c r="Q139" s="67"/>
    </row>
    <row r="140" spans="1:17" ht="15.6">
      <c r="A140" s="67"/>
      <c r="B140" s="68"/>
      <c r="C140" s="40"/>
      <c r="D140" s="40"/>
      <c r="E140" s="40"/>
      <c r="F140" s="77"/>
      <c r="G140" s="77"/>
      <c r="H140" s="78"/>
      <c r="I140" s="6"/>
      <c r="J140" s="6"/>
      <c r="K140" s="79"/>
      <c r="N140" s="79"/>
      <c r="Q140" s="67"/>
    </row>
    <row r="141" spans="1:17" ht="15.6">
      <c r="A141" s="67"/>
      <c r="B141" s="68"/>
      <c r="C141" s="40"/>
      <c r="D141" s="40"/>
      <c r="E141" s="40"/>
      <c r="F141" s="77"/>
      <c r="G141" s="77"/>
      <c r="H141" s="78"/>
      <c r="I141" s="6"/>
      <c r="J141" s="6"/>
      <c r="K141" s="79"/>
      <c r="N141" s="79"/>
      <c r="Q141" s="67"/>
    </row>
    <row r="142" spans="1:17" ht="15.6">
      <c r="A142" s="67"/>
      <c r="B142" s="68"/>
      <c r="C142" s="40"/>
      <c r="D142" s="40"/>
      <c r="E142" s="40"/>
      <c r="F142" s="77"/>
      <c r="G142" s="77"/>
      <c r="H142" s="78"/>
      <c r="I142" s="6"/>
      <c r="J142" s="6"/>
      <c r="K142" s="79"/>
      <c r="N142" s="79"/>
      <c r="Q142" s="67"/>
    </row>
    <row r="143" spans="1:17" ht="15.6">
      <c r="A143" s="67"/>
      <c r="B143" s="68"/>
      <c r="C143" s="40"/>
      <c r="D143" s="40"/>
      <c r="E143" s="40"/>
      <c r="F143" s="77"/>
      <c r="G143" s="77"/>
      <c r="H143" s="78"/>
      <c r="I143" s="6"/>
      <c r="J143" s="6"/>
      <c r="K143" s="79"/>
      <c r="N143" s="79"/>
      <c r="Q143" s="67"/>
    </row>
    <row r="144" spans="1:17" ht="15.6">
      <c r="A144" s="67"/>
      <c r="B144" s="68"/>
      <c r="C144" s="40"/>
      <c r="D144" s="40"/>
      <c r="E144" s="40"/>
      <c r="F144" s="77"/>
      <c r="G144" s="77"/>
      <c r="H144" s="78"/>
      <c r="I144" s="6"/>
      <c r="J144" s="6"/>
      <c r="K144" s="79"/>
      <c r="N144" s="79"/>
      <c r="Q144" s="67"/>
    </row>
    <row r="145" spans="1:17" ht="15.6">
      <c r="A145" s="67"/>
      <c r="B145" s="68"/>
      <c r="C145" s="40"/>
      <c r="D145" s="40"/>
      <c r="E145" s="40"/>
      <c r="F145" s="77"/>
      <c r="G145" s="77"/>
      <c r="H145" s="78"/>
      <c r="I145" s="6"/>
      <c r="J145" s="6"/>
      <c r="K145" s="79"/>
      <c r="N145" s="79"/>
      <c r="Q145" s="67"/>
    </row>
    <row r="146" spans="1:17" ht="15.6">
      <c r="A146" s="67"/>
      <c r="B146" s="68"/>
      <c r="C146" s="40"/>
      <c r="D146" s="40"/>
      <c r="E146" s="40"/>
      <c r="F146" s="77"/>
      <c r="G146" s="77"/>
      <c r="H146" s="78"/>
      <c r="I146" s="6"/>
      <c r="J146" s="6"/>
      <c r="K146" s="79"/>
      <c r="N146" s="79"/>
      <c r="Q146" s="67"/>
    </row>
    <row r="147" spans="1:17" ht="15.6">
      <c r="A147" s="67"/>
      <c r="B147" s="68"/>
      <c r="C147" s="40"/>
      <c r="D147" s="40"/>
      <c r="E147" s="40"/>
      <c r="F147" s="77"/>
      <c r="G147" s="77"/>
      <c r="H147" s="78"/>
      <c r="I147" s="6"/>
      <c r="J147" s="6"/>
      <c r="K147" s="79"/>
      <c r="N147" s="79"/>
      <c r="Q147" s="67"/>
    </row>
    <row r="148" spans="1:17" ht="15.6">
      <c r="A148" s="67"/>
      <c r="B148" s="68"/>
      <c r="C148" s="40"/>
      <c r="D148" s="40"/>
      <c r="E148" s="40"/>
      <c r="F148" s="77"/>
      <c r="G148" s="77"/>
      <c r="H148" s="78"/>
      <c r="I148" s="6"/>
      <c r="J148" s="6"/>
      <c r="K148" s="79"/>
      <c r="N148" s="79"/>
      <c r="Q148" s="67"/>
    </row>
    <row r="149" spans="1:17" ht="15.6">
      <c r="A149" s="67"/>
      <c r="B149" s="68"/>
      <c r="C149" s="40"/>
      <c r="D149" s="40"/>
      <c r="E149" s="40"/>
      <c r="F149" s="77"/>
      <c r="G149" s="77"/>
      <c r="H149" s="78"/>
      <c r="I149" s="6"/>
      <c r="J149" s="6"/>
      <c r="K149" s="79"/>
      <c r="N149" s="79"/>
      <c r="Q149" s="67"/>
    </row>
    <row r="150" spans="1:17" ht="15.6">
      <c r="A150" s="67"/>
      <c r="B150" s="68"/>
      <c r="C150" s="40"/>
      <c r="D150" s="40"/>
      <c r="E150" s="40"/>
      <c r="F150" s="77"/>
      <c r="G150" s="77"/>
      <c r="H150" s="78"/>
      <c r="I150" s="6"/>
      <c r="J150" s="6"/>
      <c r="K150" s="79"/>
      <c r="N150" s="79"/>
      <c r="Q150" s="67"/>
    </row>
    <row r="151" spans="1:17" ht="15.6">
      <c r="A151" s="67"/>
      <c r="B151" s="68"/>
      <c r="C151" s="40"/>
      <c r="D151" s="40"/>
      <c r="E151" s="40"/>
      <c r="F151" s="77"/>
      <c r="G151" s="77"/>
      <c r="H151" s="78"/>
      <c r="I151" s="6"/>
      <c r="J151" s="6"/>
      <c r="K151" s="79"/>
      <c r="N151" s="79"/>
      <c r="Q151" s="67"/>
    </row>
    <row r="152" spans="1:17" ht="15.6">
      <c r="A152" s="67"/>
      <c r="B152" s="68"/>
      <c r="C152" s="40"/>
      <c r="D152" s="40"/>
      <c r="E152" s="40"/>
      <c r="F152" s="77"/>
      <c r="G152" s="77"/>
      <c r="H152" s="78"/>
      <c r="I152" s="6"/>
      <c r="J152" s="6"/>
      <c r="K152" s="79"/>
      <c r="N152" s="79"/>
      <c r="Q152" s="67"/>
    </row>
    <row r="153" spans="1:17" ht="15.6">
      <c r="A153" s="67"/>
      <c r="B153" s="68"/>
      <c r="C153" s="40"/>
      <c r="D153" s="40"/>
      <c r="E153" s="40"/>
      <c r="F153" s="77"/>
      <c r="G153" s="77"/>
      <c r="H153" s="78"/>
      <c r="I153" s="6"/>
      <c r="J153" s="6"/>
      <c r="K153" s="79"/>
      <c r="N153" s="79"/>
      <c r="Q153" s="67"/>
    </row>
    <row r="154" spans="1:17" ht="15.6">
      <c r="A154" s="67"/>
      <c r="B154" s="68"/>
      <c r="C154" s="40"/>
      <c r="D154" s="40"/>
      <c r="E154" s="40"/>
      <c r="F154" s="77"/>
      <c r="G154" s="77"/>
      <c r="H154" s="78"/>
      <c r="I154" s="6"/>
      <c r="J154" s="6"/>
      <c r="K154" s="79"/>
      <c r="N154" s="79"/>
      <c r="Q154" s="67"/>
    </row>
    <row r="155" spans="1:17" ht="15.6">
      <c r="A155" s="67"/>
      <c r="B155" s="68"/>
      <c r="C155" s="40"/>
      <c r="D155" s="40"/>
      <c r="E155" s="40"/>
      <c r="F155" s="77"/>
      <c r="G155" s="77"/>
      <c r="H155" s="78"/>
      <c r="I155" s="6"/>
      <c r="J155" s="6"/>
      <c r="K155" s="79"/>
      <c r="N155" s="79"/>
      <c r="Q155" s="67"/>
    </row>
    <row r="156" spans="1:17" ht="15.6">
      <c r="A156" s="67"/>
      <c r="B156" s="68"/>
      <c r="C156" s="40"/>
      <c r="D156" s="40"/>
      <c r="E156" s="40"/>
      <c r="F156" s="77"/>
      <c r="G156" s="77"/>
      <c r="H156" s="78"/>
      <c r="I156" s="6"/>
      <c r="J156" s="6"/>
      <c r="K156" s="79"/>
      <c r="N156" s="79"/>
      <c r="Q156" s="67"/>
    </row>
    <row r="157" spans="1:17" ht="15.6">
      <c r="A157" s="67"/>
      <c r="B157" s="68"/>
      <c r="C157" s="40"/>
      <c r="D157" s="40"/>
      <c r="E157" s="40"/>
      <c r="F157" s="77"/>
      <c r="G157" s="77"/>
      <c r="H157" s="78"/>
      <c r="I157" s="6"/>
      <c r="J157" s="6"/>
      <c r="K157" s="79"/>
      <c r="N157" s="79"/>
      <c r="Q157" s="67"/>
    </row>
    <row r="158" spans="1:17" ht="15.6">
      <c r="A158" s="67"/>
      <c r="B158" s="68"/>
      <c r="C158" s="40"/>
      <c r="D158" s="40"/>
      <c r="E158" s="40"/>
      <c r="F158" s="77"/>
      <c r="G158" s="77"/>
      <c r="H158" s="78"/>
      <c r="I158" s="6"/>
      <c r="J158" s="6"/>
      <c r="K158" s="79"/>
      <c r="N158" s="79"/>
      <c r="Q158" s="67"/>
    </row>
    <row r="159" spans="1:17" ht="15.6">
      <c r="A159" s="67"/>
      <c r="B159" s="68"/>
      <c r="C159" s="40"/>
      <c r="D159" s="40"/>
      <c r="E159" s="40"/>
      <c r="F159" s="77"/>
      <c r="G159" s="77"/>
      <c r="H159" s="78"/>
      <c r="I159" s="6"/>
      <c r="J159" s="6"/>
      <c r="K159" s="79"/>
      <c r="N159" s="79"/>
      <c r="Q159" s="67"/>
    </row>
    <row r="160" spans="1:17" ht="15.6">
      <c r="A160" s="67"/>
      <c r="B160" s="68"/>
      <c r="C160" s="40"/>
      <c r="D160" s="40"/>
      <c r="E160" s="40"/>
      <c r="F160" s="77"/>
      <c r="G160" s="77"/>
      <c r="H160" s="78"/>
      <c r="I160" s="6"/>
      <c r="J160" s="6"/>
      <c r="K160" s="79"/>
      <c r="N160" s="79"/>
      <c r="Q160" s="67"/>
    </row>
    <row r="161" spans="1:17" ht="15.6">
      <c r="A161" s="67"/>
      <c r="B161" s="68"/>
      <c r="C161" s="40"/>
      <c r="D161" s="40"/>
      <c r="E161" s="40"/>
      <c r="F161" s="77"/>
      <c r="G161" s="77"/>
      <c r="H161" s="78"/>
      <c r="I161" s="6"/>
      <c r="J161" s="6"/>
      <c r="K161" s="79"/>
      <c r="N161" s="79"/>
      <c r="Q161" s="67"/>
    </row>
    <row r="162" spans="1:17" ht="15.6">
      <c r="A162" s="67"/>
      <c r="B162" s="68"/>
      <c r="C162" s="40"/>
      <c r="D162" s="40"/>
      <c r="E162" s="40"/>
      <c r="F162" s="77"/>
      <c r="G162" s="77"/>
      <c r="H162" s="78"/>
      <c r="I162" s="6"/>
      <c r="J162" s="6"/>
      <c r="K162" s="79"/>
      <c r="N162" s="79"/>
      <c r="Q162" s="67"/>
    </row>
    <row r="163" spans="1:17" ht="15.6">
      <c r="A163" s="67"/>
      <c r="B163" s="68"/>
      <c r="C163" s="40"/>
      <c r="D163" s="40"/>
      <c r="E163" s="40"/>
      <c r="F163" s="77"/>
      <c r="G163" s="77"/>
      <c r="H163" s="78"/>
      <c r="I163" s="6"/>
      <c r="J163" s="6"/>
      <c r="K163" s="79"/>
      <c r="N163" s="79"/>
      <c r="Q163" s="67"/>
    </row>
    <row r="164" spans="1:17" ht="15.6">
      <c r="A164" s="67"/>
      <c r="B164" s="68"/>
      <c r="C164" s="40"/>
      <c r="D164" s="40"/>
      <c r="E164" s="40"/>
      <c r="F164" s="77"/>
      <c r="G164" s="77"/>
      <c r="H164" s="78"/>
      <c r="I164" s="6"/>
      <c r="J164" s="6"/>
      <c r="K164" s="79"/>
      <c r="N164" s="79"/>
      <c r="Q164" s="67"/>
    </row>
    <row r="165" spans="1:17" ht="15.6">
      <c r="A165" s="67"/>
      <c r="B165" s="68"/>
      <c r="C165" s="40"/>
      <c r="D165" s="40"/>
      <c r="E165" s="40"/>
      <c r="F165" s="77"/>
      <c r="G165" s="77"/>
      <c r="H165" s="78"/>
      <c r="I165" s="6"/>
      <c r="J165" s="6"/>
      <c r="K165" s="79"/>
      <c r="N165" s="79"/>
      <c r="Q165" s="67"/>
    </row>
    <row r="166" spans="1:17" ht="15.6">
      <c r="A166" s="67"/>
      <c r="B166" s="68"/>
      <c r="C166" s="40"/>
      <c r="D166" s="40"/>
      <c r="E166" s="40"/>
      <c r="F166" s="77"/>
      <c r="G166" s="77"/>
      <c r="H166" s="78"/>
      <c r="I166" s="6"/>
      <c r="J166" s="6"/>
      <c r="K166" s="79"/>
      <c r="N166" s="79"/>
      <c r="Q166" s="67"/>
    </row>
    <row r="167" spans="1:17" ht="15.6">
      <c r="A167" s="67"/>
      <c r="B167" s="68"/>
      <c r="C167" s="40"/>
      <c r="D167" s="40"/>
      <c r="E167" s="40"/>
      <c r="F167" s="77"/>
      <c r="G167" s="77"/>
      <c r="H167" s="78"/>
      <c r="I167" s="6"/>
      <c r="J167" s="6"/>
      <c r="K167" s="79"/>
      <c r="N167" s="79"/>
      <c r="Q167" s="67"/>
    </row>
    <row r="168" spans="1:17" ht="15.6">
      <c r="A168" s="67"/>
      <c r="B168" s="68"/>
      <c r="C168" s="40"/>
      <c r="D168" s="40"/>
      <c r="E168" s="40"/>
      <c r="F168" s="77"/>
      <c r="G168" s="77"/>
      <c r="H168" s="78"/>
      <c r="I168" s="6"/>
      <c r="J168" s="6"/>
      <c r="K168" s="79"/>
      <c r="N168" s="79"/>
      <c r="Q168" s="67"/>
    </row>
    <row r="169" spans="1:17" ht="15.6">
      <c r="A169" s="67"/>
      <c r="B169" s="68"/>
      <c r="C169" s="40"/>
      <c r="D169" s="40"/>
      <c r="E169" s="40"/>
      <c r="F169" s="77"/>
      <c r="G169" s="77"/>
      <c r="H169" s="78"/>
      <c r="I169" s="6"/>
      <c r="J169" s="6"/>
      <c r="K169" s="79"/>
      <c r="N169" s="79"/>
      <c r="Q169" s="67"/>
    </row>
    <row r="170" spans="1:17" ht="15.6">
      <c r="A170" s="67"/>
      <c r="B170" s="68"/>
      <c r="C170" s="40"/>
      <c r="D170" s="40"/>
      <c r="E170" s="40"/>
      <c r="F170" s="77"/>
      <c r="G170" s="77"/>
      <c r="H170" s="78"/>
      <c r="I170" s="6"/>
      <c r="J170" s="6"/>
      <c r="K170" s="79"/>
      <c r="N170" s="79"/>
      <c r="Q170" s="67"/>
    </row>
    <row r="171" spans="1:17" ht="15.6">
      <c r="A171" s="67"/>
      <c r="B171" s="68"/>
      <c r="C171" s="40"/>
      <c r="D171" s="40"/>
      <c r="E171" s="40"/>
      <c r="F171" s="77"/>
      <c r="G171" s="77"/>
      <c r="H171" s="78"/>
      <c r="I171" s="6"/>
      <c r="J171" s="6"/>
      <c r="K171" s="79"/>
      <c r="N171" s="79"/>
      <c r="Q171" s="67"/>
    </row>
    <row r="172" spans="1:17" ht="15.6">
      <c r="A172" s="67"/>
      <c r="B172" s="68"/>
      <c r="C172" s="40"/>
      <c r="D172" s="40"/>
      <c r="E172" s="40"/>
      <c r="F172" s="77"/>
      <c r="G172" s="77"/>
      <c r="H172" s="78"/>
      <c r="I172" s="6"/>
      <c r="J172" s="6"/>
      <c r="K172" s="79"/>
      <c r="N172" s="79"/>
      <c r="Q172" s="67"/>
    </row>
    <row r="173" spans="1:17" ht="15.6">
      <c r="A173" s="67"/>
      <c r="B173" s="68"/>
      <c r="C173" s="40"/>
      <c r="D173" s="40"/>
      <c r="E173" s="40"/>
      <c r="F173" s="77"/>
      <c r="G173" s="77"/>
      <c r="H173" s="78"/>
      <c r="I173" s="6"/>
      <c r="J173" s="6"/>
      <c r="K173" s="79"/>
      <c r="N173" s="79"/>
      <c r="Q173" s="67"/>
    </row>
    <row r="174" spans="1:17" ht="15.6">
      <c r="A174" s="67"/>
      <c r="B174" s="68"/>
      <c r="C174" s="40"/>
      <c r="D174" s="40"/>
      <c r="E174" s="40"/>
      <c r="F174" s="77"/>
      <c r="G174" s="77"/>
      <c r="H174" s="78"/>
      <c r="I174" s="6"/>
      <c r="J174" s="6"/>
      <c r="K174" s="79"/>
      <c r="N174" s="79"/>
      <c r="Q174" s="67"/>
    </row>
    <row r="175" spans="1:17" ht="15.6">
      <c r="A175" s="67"/>
      <c r="B175" s="68"/>
      <c r="C175" s="40"/>
      <c r="D175" s="40"/>
      <c r="E175" s="40"/>
      <c r="F175" s="77"/>
      <c r="G175" s="77"/>
      <c r="H175" s="78"/>
      <c r="I175" s="6"/>
      <c r="J175" s="6"/>
      <c r="K175" s="79"/>
      <c r="N175" s="79"/>
      <c r="Q175" s="67"/>
    </row>
    <row r="176" spans="1:17" ht="15.6">
      <c r="A176" s="67"/>
      <c r="B176" s="68"/>
      <c r="C176" s="40"/>
      <c r="D176" s="40"/>
      <c r="E176" s="40"/>
      <c r="F176" s="77"/>
      <c r="G176" s="77"/>
      <c r="H176" s="78"/>
      <c r="I176" s="6"/>
      <c r="J176" s="6"/>
      <c r="K176" s="79"/>
      <c r="N176" s="79"/>
      <c r="Q176" s="67"/>
    </row>
    <row r="177" spans="1:17" ht="15.6">
      <c r="A177" s="67"/>
      <c r="B177" s="68"/>
      <c r="C177" s="40"/>
      <c r="D177" s="40"/>
      <c r="E177" s="40"/>
      <c r="F177" s="77"/>
      <c r="G177" s="77"/>
      <c r="H177" s="78"/>
      <c r="I177" s="6"/>
      <c r="J177" s="6"/>
      <c r="K177" s="79"/>
      <c r="N177" s="79"/>
      <c r="Q177" s="67"/>
    </row>
    <row r="178" spans="1:17" ht="15.6">
      <c r="A178" s="67"/>
      <c r="B178" s="68"/>
      <c r="C178" s="40"/>
      <c r="D178" s="40"/>
      <c r="E178" s="40"/>
      <c r="F178" s="77"/>
      <c r="G178" s="77"/>
      <c r="H178" s="78"/>
      <c r="I178" s="6"/>
      <c r="J178" s="6"/>
      <c r="K178" s="79"/>
      <c r="N178" s="79"/>
      <c r="Q178" s="67"/>
    </row>
    <row r="179" spans="1:17" ht="15.6">
      <c r="A179" s="67"/>
      <c r="B179" s="68"/>
      <c r="C179" s="40"/>
      <c r="D179" s="40"/>
      <c r="E179" s="40"/>
      <c r="F179" s="77"/>
      <c r="G179" s="77"/>
      <c r="H179" s="78"/>
      <c r="I179" s="6"/>
      <c r="J179" s="6"/>
      <c r="K179" s="79"/>
      <c r="N179" s="79"/>
      <c r="Q179" s="67"/>
    </row>
    <row r="180" spans="1:17" ht="15.6">
      <c r="A180" s="67"/>
      <c r="B180" s="68"/>
      <c r="C180" s="40"/>
      <c r="D180" s="40"/>
      <c r="E180" s="40"/>
      <c r="F180" s="77"/>
      <c r="G180" s="77"/>
      <c r="H180" s="78"/>
      <c r="I180" s="6"/>
      <c r="J180" s="6"/>
      <c r="K180" s="79"/>
      <c r="N180" s="79"/>
      <c r="Q180" s="67"/>
    </row>
    <row r="181" spans="1:17" ht="15.6">
      <c r="A181" s="67"/>
      <c r="B181" s="68"/>
      <c r="C181" s="40"/>
      <c r="D181" s="40"/>
      <c r="E181" s="40"/>
      <c r="F181" s="77"/>
      <c r="G181" s="77"/>
      <c r="H181" s="78"/>
      <c r="I181" s="6"/>
      <c r="J181" s="6"/>
      <c r="K181" s="79"/>
      <c r="N181" s="79"/>
      <c r="Q181" s="67"/>
    </row>
    <row r="182" spans="1:17" ht="15.6">
      <c r="A182" s="67"/>
      <c r="B182" s="68"/>
      <c r="C182" s="40"/>
      <c r="D182" s="40"/>
      <c r="E182" s="40"/>
      <c r="F182" s="77"/>
      <c r="G182" s="77"/>
      <c r="H182" s="78"/>
      <c r="I182" s="6"/>
      <c r="J182" s="6"/>
      <c r="K182" s="79"/>
      <c r="N182" s="79"/>
      <c r="Q182" s="67"/>
    </row>
    <row r="183" spans="1:17" ht="15.6">
      <c r="A183" s="67"/>
      <c r="B183" s="68"/>
      <c r="C183" s="40"/>
      <c r="D183" s="40"/>
      <c r="E183" s="40"/>
      <c r="F183" s="77"/>
      <c r="G183" s="77"/>
      <c r="H183" s="78"/>
      <c r="I183" s="6"/>
      <c r="J183" s="6"/>
      <c r="K183" s="79"/>
      <c r="N183" s="79"/>
      <c r="Q183" s="67"/>
    </row>
    <row r="184" spans="1:17" ht="15.6">
      <c r="A184" s="67"/>
      <c r="B184" s="68"/>
      <c r="C184" s="40"/>
      <c r="D184" s="40"/>
      <c r="E184" s="40"/>
      <c r="F184" s="77"/>
      <c r="G184" s="77"/>
      <c r="H184" s="78"/>
      <c r="I184" s="6"/>
      <c r="J184" s="6"/>
      <c r="K184" s="79"/>
      <c r="N184" s="79"/>
      <c r="Q184" s="67"/>
    </row>
    <row r="185" spans="1:17" ht="15.6">
      <c r="A185" s="67"/>
      <c r="B185" s="68"/>
      <c r="C185" s="40"/>
      <c r="D185" s="40"/>
      <c r="E185" s="40"/>
      <c r="F185" s="77"/>
      <c r="G185" s="77"/>
      <c r="H185" s="78"/>
      <c r="I185" s="6"/>
      <c r="J185" s="6"/>
      <c r="K185" s="79"/>
      <c r="N185" s="79"/>
      <c r="Q185" s="67"/>
    </row>
    <row r="186" spans="1:17" ht="15.6">
      <c r="A186" s="67"/>
      <c r="B186" s="68"/>
      <c r="C186" s="40"/>
      <c r="D186" s="40"/>
      <c r="E186" s="40"/>
      <c r="F186" s="77"/>
      <c r="G186" s="77"/>
      <c r="H186" s="78"/>
      <c r="I186" s="6"/>
      <c r="J186" s="6"/>
      <c r="K186" s="79"/>
      <c r="N186" s="79"/>
      <c r="Q186" s="67"/>
    </row>
    <row r="187" spans="1:17" ht="15.6">
      <c r="A187" s="67"/>
      <c r="B187" s="68"/>
      <c r="C187" s="40"/>
      <c r="D187" s="40"/>
      <c r="E187" s="40"/>
      <c r="F187" s="77"/>
      <c r="G187" s="77"/>
      <c r="H187" s="78"/>
      <c r="I187" s="6"/>
      <c r="J187" s="6"/>
      <c r="K187" s="79"/>
      <c r="N187" s="79"/>
      <c r="Q187" s="67"/>
    </row>
    <row r="188" spans="1:17" ht="15.6">
      <c r="A188" s="67"/>
      <c r="B188" s="68"/>
      <c r="C188" s="40"/>
      <c r="D188" s="40"/>
      <c r="E188" s="40"/>
      <c r="F188" s="77"/>
      <c r="G188" s="77"/>
      <c r="H188" s="78"/>
      <c r="I188" s="6"/>
      <c r="J188" s="6"/>
      <c r="K188" s="79"/>
      <c r="N188" s="79"/>
      <c r="Q188" s="67"/>
    </row>
    <row r="189" spans="1:17" ht="15.6">
      <c r="A189" s="67"/>
      <c r="B189" s="68"/>
      <c r="C189" s="40"/>
      <c r="D189" s="40"/>
      <c r="E189" s="40"/>
      <c r="F189" s="77"/>
      <c r="G189" s="77"/>
      <c r="H189" s="78"/>
      <c r="I189" s="6"/>
      <c r="J189" s="6"/>
      <c r="K189" s="79"/>
      <c r="N189" s="79"/>
      <c r="Q189" s="67"/>
    </row>
    <row r="190" spans="1:17" ht="15.6">
      <c r="A190" s="67"/>
      <c r="B190" s="68"/>
      <c r="C190" s="40"/>
      <c r="D190" s="40"/>
      <c r="E190" s="40"/>
      <c r="F190" s="77"/>
      <c r="G190" s="77"/>
      <c r="H190" s="78"/>
      <c r="I190" s="6"/>
      <c r="J190" s="6"/>
      <c r="K190" s="79"/>
      <c r="N190" s="79"/>
      <c r="Q190" s="67"/>
    </row>
    <row r="191" spans="1:17" ht="15.6">
      <c r="A191" s="67"/>
      <c r="B191" s="68"/>
      <c r="C191" s="40"/>
      <c r="D191" s="40"/>
      <c r="E191" s="40"/>
      <c r="F191" s="77"/>
      <c r="G191" s="77"/>
      <c r="H191" s="78"/>
      <c r="I191" s="6"/>
      <c r="J191" s="6"/>
      <c r="K191" s="79"/>
      <c r="N191" s="79"/>
      <c r="Q191" s="67"/>
    </row>
    <row r="192" spans="1:17" ht="15.6">
      <c r="A192" s="67"/>
      <c r="B192" s="68"/>
      <c r="C192" s="40"/>
      <c r="D192" s="40"/>
      <c r="E192" s="40"/>
      <c r="F192" s="77"/>
      <c r="G192" s="77"/>
      <c r="H192" s="78"/>
      <c r="I192" s="6"/>
      <c r="J192" s="6"/>
      <c r="K192" s="79"/>
      <c r="N192" s="79"/>
      <c r="Q192" s="67"/>
    </row>
    <row r="193" spans="1:17" ht="15.6">
      <c r="A193" s="67"/>
      <c r="B193" s="68"/>
      <c r="C193" s="40"/>
      <c r="D193" s="40"/>
      <c r="E193" s="40"/>
      <c r="F193" s="77"/>
      <c r="G193" s="77"/>
      <c r="H193" s="78"/>
      <c r="I193" s="6"/>
      <c r="J193" s="6"/>
      <c r="K193" s="79"/>
      <c r="N193" s="79"/>
      <c r="Q193" s="67"/>
    </row>
    <row r="194" spans="1:17" ht="15.6">
      <c r="A194" s="67"/>
      <c r="B194" s="68"/>
      <c r="C194" s="40"/>
      <c r="D194" s="40"/>
      <c r="E194" s="40"/>
      <c r="F194" s="77"/>
      <c r="G194" s="77"/>
      <c r="H194" s="78"/>
      <c r="I194" s="6"/>
      <c r="J194" s="6"/>
      <c r="K194" s="79"/>
      <c r="N194" s="79"/>
      <c r="Q194" s="67"/>
    </row>
    <row r="195" spans="1:17" ht="15.6">
      <c r="A195" s="67"/>
      <c r="B195" s="68"/>
      <c r="C195" s="40"/>
      <c r="D195" s="40"/>
      <c r="E195" s="40"/>
      <c r="F195" s="77"/>
      <c r="G195" s="77"/>
      <c r="H195" s="78"/>
      <c r="I195" s="6"/>
      <c r="J195" s="6"/>
      <c r="K195" s="79"/>
      <c r="N195" s="79"/>
      <c r="Q195" s="67"/>
    </row>
    <row r="196" spans="1:17" ht="15.6">
      <c r="A196" s="67"/>
      <c r="B196" s="68"/>
      <c r="C196" s="40"/>
      <c r="D196" s="40"/>
      <c r="E196" s="40"/>
      <c r="F196" s="77"/>
      <c r="G196" s="77"/>
      <c r="H196" s="78"/>
      <c r="I196" s="6"/>
      <c r="J196" s="6"/>
      <c r="K196" s="79"/>
      <c r="N196" s="79"/>
      <c r="Q196" s="67"/>
    </row>
    <row r="197" spans="1:17" ht="15.6">
      <c r="A197" s="67"/>
      <c r="B197" s="68"/>
      <c r="C197" s="40"/>
      <c r="D197" s="40"/>
      <c r="E197" s="40"/>
      <c r="F197" s="77"/>
      <c r="G197" s="77"/>
      <c r="H197" s="78"/>
      <c r="I197" s="6"/>
      <c r="J197" s="6"/>
      <c r="K197" s="79"/>
      <c r="N197" s="79"/>
      <c r="Q197" s="67"/>
    </row>
    <row r="198" spans="1:17" ht="15.6">
      <c r="A198" s="67"/>
      <c r="B198" s="68"/>
      <c r="C198" s="40"/>
      <c r="D198" s="40"/>
      <c r="E198" s="40"/>
      <c r="F198" s="77"/>
      <c r="G198" s="77"/>
      <c r="H198" s="78"/>
      <c r="I198" s="6"/>
      <c r="J198" s="6"/>
      <c r="K198" s="79"/>
      <c r="N198" s="79"/>
      <c r="Q198" s="67"/>
    </row>
    <row r="199" spans="1:17" ht="15.6">
      <c r="A199" s="67"/>
      <c r="B199" s="68"/>
      <c r="C199" s="40"/>
      <c r="D199" s="40"/>
      <c r="E199" s="40"/>
      <c r="F199" s="77"/>
      <c r="G199" s="77"/>
      <c r="H199" s="78"/>
      <c r="I199" s="6"/>
      <c r="J199" s="6"/>
      <c r="K199" s="79"/>
      <c r="N199" s="79"/>
      <c r="Q199" s="67"/>
    </row>
    <row r="200" spans="1:17" ht="15.6">
      <c r="A200" s="67"/>
      <c r="B200" s="68"/>
      <c r="C200" s="40"/>
      <c r="D200" s="40"/>
      <c r="E200" s="40"/>
      <c r="F200" s="77"/>
      <c r="G200" s="77"/>
      <c r="H200" s="78"/>
      <c r="I200" s="6"/>
      <c r="J200" s="6"/>
      <c r="K200" s="79"/>
      <c r="N200" s="79"/>
      <c r="Q200" s="67"/>
    </row>
    <row r="201" spans="1:17" ht="15.6">
      <c r="A201" s="67"/>
      <c r="B201" s="68"/>
      <c r="C201" s="40"/>
      <c r="D201" s="40"/>
      <c r="E201" s="40"/>
      <c r="F201" s="77"/>
      <c r="G201" s="77"/>
      <c r="H201" s="78"/>
      <c r="I201" s="6"/>
      <c r="J201" s="6"/>
      <c r="K201" s="79"/>
      <c r="N201" s="79"/>
      <c r="Q201" s="67"/>
    </row>
    <row r="202" spans="1:17" ht="15.6">
      <c r="A202" s="67"/>
      <c r="B202" s="68"/>
      <c r="C202" s="40"/>
      <c r="D202" s="40"/>
      <c r="E202" s="40"/>
      <c r="F202" s="77"/>
      <c r="G202" s="77"/>
      <c r="H202" s="78"/>
      <c r="I202" s="6"/>
      <c r="J202" s="6"/>
      <c r="K202" s="79"/>
      <c r="N202" s="79"/>
      <c r="Q202" s="67"/>
    </row>
    <row r="203" spans="1:17" ht="15.6">
      <c r="A203" s="67"/>
      <c r="B203" s="68"/>
      <c r="C203" s="40"/>
      <c r="D203" s="40"/>
      <c r="E203" s="40"/>
      <c r="F203" s="77"/>
      <c r="G203" s="77"/>
      <c r="H203" s="78"/>
      <c r="I203" s="6"/>
      <c r="J203" s="6"/>
      <c r="K203" s="79"/>
      <c r="N203" s="79"/>
      <c r="Q203" s="67"/>
    </row>
    <row r="204" spans="1:17" ht="15.6">
      <c r="A204" s="67"/>
      <c r="B204" s="68"/>
      <c r="C204" s="40"/>
      <c r="D204" s="40"/>
      <c r="E204" s="40"/>
      <c r="F204" s="77"/>
      <c r="G204" s="77"/>
      <c r="H204" s="78"/>
      <c r="I204" s="6"/>
      <c r="J204" s="6"/>
      <c r="K204" s="79"/>
      <c r="N204" s="79"/>
      <c r="Q204" s="67"/>
    </row>
    <row r="205" spans="1:17" ht="15.6">
      <c r="A205" s="67"/>
      <c r="B205" s="68"/>
      <c r="C205" s="40"/>
      <c r="D205" s="40"/>
      <c r="E205" s="40"/>
      <c r="F205" s="77"/>
      <c r="G205" s="77"/>
      <c r="H205" s="78"/>
      <c r="I205" s="6"/>
      <c r="J205" s="6"/>
      <c r="K205" s="79"/>
      <c r="N205" s="79"/>
      <c r="Q205" s="67"/>
    </row>
    <row r="206" spans="1:17" ht="15.6">
      <c r="A206" s="67"/>
      <c r="B206" s="68"/>
      <c r="C206" s="40"/>
      <c r="D206" s="40"/>
      <c r="E206" s="40"/>
      <c r="F206" s="77"/>
      <c r="G206" s="77"/>
      <c r="H206" s="78"/>
      <c r="I206" s="6"/>
      <c r="J206" s="6"/>
      <c r="K206" s="79"/>
      <c r="N206" s="79"/>
      <c r="Q206" s="67"/>
    </row>
    <row r="207" spans="1:17" ht="15.6">
      <c r="A207" s="67"/>
      <c r="B207" s="68"/>
      <c r="C207" s="40"/>
      <c r="D207" s="40"/>
      <c r="E207" s="40"/>
      <c r="F207" s="77"/>
      <c r="G207" s="77"/>
      <c r="H207" s="78"/>
      <c r="I207" s="6"/>
      <c r="J207" s="6"/>
      <c r="K207" s="79"/>
      <c r="N207" s="79"/>
      <c r="Q207" s="67"/>
    </row>
    <row r="208" spans="1:17" ht="15.6">
      <c r="A208" s="67"/>
      <c r="B208" s="68"/>
      <c r="C208" s="40"/>
      <c r="D208" s="40"/>
      <c r="E208" s="40"/>
      <c r="F208" s="77"/>
      <c r="G208" s="77"/>
      <c r="H208" s="78"/>
      <c r="I208" s="6"/>
      <c r="J208" s="6"/>
      <c r="K208" s="79"/>
      <c r="N208" s="79"/>
      <c r="Q208" s="67"/>
    </row>
    <row r="209" spans="1:17" ht="15.6">
      <c r="A209" s="67"/>
      <c r="B209" s="68"/>
      <c r="C209" s="40"/>
      <c r="D209" s="40"/>
      <c r="E209" s="40"/>
      <c r="F209" s="77"/>
      <c r="G209" s="77"/>
      <c r="H209" s="78"/>
      <c r="I209" s="6"/>
      <c r="J209" s="6"/>
      <c r="K209" s="79"/>
      <c r="N209" s="79"/>
      <c r="Q209" s="67"/>
    </row>
    <row r="210" spans="1:17" ht="15.6">
      <c r="A210" s="67"/>
      <c r="B210" s="68"/>
      <c r="C210" s="40"/>
      <c r="D210" s="40"/>
      <c r="E210" s="40"/>
      <c r="F210" s="77"/>
      <c r="G210" s="77"/>
      <c r="H210" s="78"/>
      <c r="I210" s="6"/>
      <c r="J210" s="6"/>
      <c r="K210" s="79"/>
      <c r="N210" s="79"/>
      <c r="Q210" s="67"/>
    </row>
    <row r="211" spans="1:17" ht="15.6">
      <c r="A211" s="67"/>
      <c r="B211" s="68"/>
      <c r="C211" s="40"/>
      <c r="D211" s="40"/>
      <c r="E211" s="40"/>
      <c r="F211" s="77"/>
      <c r="G211" s="77"/>
      <c r="H211" s="78"/>
      <c r="I211" s="6"/>
      <c r="J211" s="6"/>
      <c r="K211" s="79"/>
      <c r="N211" s="79"/>
      <c r="Q211" s="67"/>
    </row>
    <row r="212" spans="1:17" ht="15.6">
      <c r="A212" s="67"/>
      <c r="B212" s="68"/>
      <c r="C212" s="40"/>
      <c r="D212" s="40"/>
      <c r="E212" s="40"/>
      <c r="F212" s="77"/>
      <c r="G212" s="77"/>
      <c r="H212" s="78"/>
      <c r="I212" s="6"/>
      <c r="J212" s="6"/>
      <c r="K212" s="79"/>
      <c r="N212" s="79"/>
      <c r="Q212" s="67"/>
    </row>
    <row r="213" spans="1:17" ht="15.6">
      <c r="A213" s="67"/>
      <c r="B213" s="68"/>
      <c r="C213" s="40"/>
      <c r="D213" s="40"/>
      <c r="E213" s="40"/>
      <c r="F213" s="77"/>
      <c r="G213" s="77"/>
      <c r="H213" s="78"/>
      <c r="I213" s="6"/>
      <c r="J213" s="6"/>
      <c r="K213" s="79"/>
      <c r="N213" s="79"/>
      <c r="Q213" s="67"/>
    </row>
    <row r="214" spans="1:17" ht="15.6">
      <c r="A214" s="67"/>
      <c r="B214" s="68"/>
      <c r="C214" s="40"/>
      <c r="D214" s="40"/>
      <c r="E214" s="40"/>
      <c r="F214" s="77"/>
      <c r="G214" s="77"/>
      <c r="H214" s="78"/>
      <c r="I214" s="6"/>
      <c r="J214" s="6"/>
      <c r="K214" s="79"/>
      <c r="N214" s="79"/>
      <c r="Q214" s="67"/>
    </row>
    <row r="215" spans="1:17" ht="15.6">
      <c r="A215" s="67"/>
      <c r="B215" s="68"/>
      <c r="C215" s="40"/>
      <c r="D215" s="40"/>
      <c r="E215" s="40"/>
      <c r="F215" s="77"/>
      <c r="G215" s="77"/>
      <c r="H215" s="78"/>
      <c r="I215" s="6"/>
      <c r="J215" s="6"/>
      <c r="K215" s="79"/>
      <c r="N215" s="79"/>
      <c r="Q215" s="67"/>
    </row>
    <row r="216" spans="1:17" ht="15.6">
      <c r="A216" s="67"/>
      <c r="B216" s="68"/>
      <c r="C216" s="40"/>
      <c r="D216" s="40"/>
      <c r="E216" s="40"/>
      <c r="F216" s="77"/>
      <c r="G216" s="77"/>
      <c r="H216" s="78"/>
      <c r="I216" s="6"/>
      <c r="J216" s="6"/>
      <c r="K216" s="79"/>
      <c r="N216" s="79"/>
      <c r="Q216" s="67"/>
    </row>
    <row r="217" spans="1:17" ht="15.6">
      <c r="A217" s="67"/>
      <c r="B217" s="68"/>
      <c r="C217" s="40"/>
      <c r="D217" s="40"/>
      <c r="E217" s="40"/>
      <c r="F217" s="77"/>
      <c r="G217" s="77"/>
      <c r="H217" s="78"/>
      <c r="I217" s="6"/>
      <c r="J217" s="6"/>
      <c r="K217" s="79"/>
      <c r="N217" s="79"/>
      <c r="Q217" s="67"/>
    </row>
    <row r="218" spans="1:17" ht="15.6">
      <c r="A218" s="67"/>
      <c r="B218" s="68"/>
      <c r="C218" s="40"/>
      <c r="D218" s="40"/>
      <c r="E218" s="40"/>
      <c r="F218" s="77"/>
      <c r="G218" s="77"/>
      <c r="H218" s="78"/>
      <c r="I218" s="6"/>
      <c r="J218" s="6"/>
      <c r="K218" s="79"/>
      <c r="N218" s="79"/>
      <c r="Q218" s="67"/>
    </row>
    <row r="219" spans="1:17" ht="15.6">
      <c r="A219" s="67"/>
      <c r="B219" s="68"/>
      <c r="C219" s="40"/>
      <c r="D219" s="40"/>
      <c r="E219" s="40"/>
      <c r="F219" s="77"/>
      <c r="G219" s="77"/>
      <c r="H219" s="78"/>
      <c r="I219" s="6"/>
      <c r="J219" s="6"/>
      <c r="K219" s="79"/>
      <c r="N219" s="79"/>
      <c r="Q219" s="67"/>
    </row>
    <row r="220" spans="1:17" ht="15.6">
      <c r="A220" s="67"/>
      <c r="B220" s="68"/>
      <c r="C220" s="40"/>
      <c r="D220" s="40"/>
      <c r="E220" s="40"/>
      <c r="F220" s="77"/>
      <c r="G220" s="77"/>
      <c r="H220" s="78"/>
      <c r="I220" s="6"/>
      <c r="J220" s="6"/>
      <c r="K220" s="79"/>
      <c r="N220" s="79"/>
      <c r="Q220" s="67"/>
    </row>
    <row r="221" spans="1:17" ht="15.6">
      <c r="A221" s="67"/>
      <c r="B221" s="68"/>
      <c r="C221" s="40"/>
      <c r="D221" s="40"/>
      <c r="E221" s="40"/>
      <c r="F221" s="77"/>
      <c r="G221" s="77"/>
      <c r="H221" s="78"/>
      <c r="I221" s="6"/>
      <c r="J221" s="6"/>
      <c r="K221" s="79"/>
      <c r="N221" s="79"/>
      <c r="Q221" s="67"/>
    </row>
    <row r="222" spans="1:17" ht="15.6">
      <c r="A222" s="67"/>
      <c r="B222" s="68"/>
      <c r="C222" s="40"/>
      <c r="D222" s="40"/>
      <c r="E222" s="40"/>
      <c r="F222" s="77"/>
      <c r="G222" s="77"/>
      <c r="H222" s="78"/>
      <c r="I222" s="6"/>
      <c r="J222" s="6"/>
      <c r="K222" s="79"/>
      <c r="N222" s="79"/>
      <c r="Q222" s="67"/>
    </row>
    <row r="223" spans="1:17" ht="15.6">
      <c r="A223" s="67"/>
      <c r="B223" s="68"/>
      <c r="C223" s="40"/>
      <c r="D223" s="40"/>
      <c r="E223" s="40"/>
      <c r="F223" s="77"/>
      <c r="G223" s="77"/>
      <c r="H223" s="78"/>
      <c r="I223" s="6"/>
      <c r="J223" s="6"/>
      <c r="K223" s="79"/>
      <c r="N223" s="79"/>
      <c r="Q223" s="67"/>
    </row>
    <row r="224" spans="1:17" ht="15.6">
      <c r="A224" s="67"/>
      <c r="B224" s="68"/>
      <c r="C224" s="40"/>
      <c r="D224" s="40"/>
      <c r="E224" s="40"/>
      <c r="F224" s="77"/>
      <c r="G224" s="77"/>
      <c r="H224" s="78"/>
      <c r="I224" s="6"/>
      <c r="J224" s="6"/>
      <c r="K224" s="79"/>
      <c r="N224" s="79"/>
      <c r="Q224" s="67"/>
    </row>
    <row r="225" spans="1:17" ht="15.6">
      <c r="A225" s="67"/>
      <c r="B225" s="68"/>
      <c r="C225" s="40"/>
      <c r="D225" s="40"/>
      <c r="E225" s="40"/>
      <c r="F225" s="77"/>
      <c r="G225" s="77"/>
      <c r="H225" s="78"/>
      <c r="I225" s="6"/>
      <c r="J225" s="6"/>
      <c r="K225" s="79"/>
      <c r="N225" s="79"/>
      <c r="Q225" s="67"/>
    </row>
    <row r="226" spans="1:17" ht="15.6">
      <c r="A226" s="67"/>
      <c r="B226" s="68"/>
      <c r="C226" s="40"/>
      <c r="D226" s="40"/>
      <c r="E226" s="40"/>
      <c r="F226" s="77"/>
      <c r="G226" s="77"/>
      <c r="H226" s="78"/>
      <c r="I226" s="6"/>
      <c r="J226" s="6"/>
      <c r="K226" s="79"/>
      <c r="N226" s="79"/>
      <c r="Q226" s="67"/>
    </row>
    <row r="227" spans="1:17" ht="15.6">
      <c r="A227" s="67"/>
      <c r="B227" s="68"/>
      <c r="C227" s="40"/>
      <c r="D227" s="40"/>
      <c r="E227" s="40"/>
      <c r="F227" s="77"/>
      <c r="G227" s="77"/>
      <c r="H227" s="78"/>
      <c r="I227" s="6"/>
      <c r="J227" s="6"/>
      <c r="K227" s="79"/>
      <c r="N227" s="79"/>
      <c r="Q227" s="67"/>
    </row>
    <row r="228" spans="1:17" ht="15.6">
      <c r="A228" s="67"/>
      <c r="B228" s="68"/>
      <c r="C228" s="40"/>
      <c r="D228" s="40"/>
      <c r="E228" s="40"/>
      <c r="F228" s="77"/>
      <c r="G228" s="77"/>
      <c r="H228" s="78"/>
      <c r="I228" s="6"/>
      <c r="J228" s="6"/>
      <c r="K228" s="79"/>
      <c r="N228" s="79"/>
      <c r="Q228" s="67"/>
    </row>
    <row r="229" spans="1:17" ht="15.6">
      <c r="A229" s="67"/>
      <c r="B229" s="68"/>
      <c r="C229" s="40"/>
      <c r="D229" s="40"/>
      <c r="E229" s="40"/>
      <c r="F229" s="77"/>
      <c r="G229" s="77"/>
      <c r="H229" s="78"/>
      <c r="I229" s="6"/>
      <c r="J229" s="6"/>
      <c r="K229" s="79"/>
      <c r="N229" s="79"/>
      <c r="Q229" s="67"/>
    </row>
    <row r="230" spans="1:17" ht="15.6">
      <c r="A230" s="67"/>
      <c r="B230" s="68"/>
      <c r="C230" s="40"/>
      <c r="D230" s="40"/>
      <c r="E230" s="40"/>
      <c r="F230" s="77"/>
      <c r="G230" s="77"/>
      <c r="H230" s="78"/>
      <c r="I230" s="6"/>
      <c r="J230" s="6"/>
      <c r="K230" s="79"/>
      <c r="N230" s="79"/>
      <c r="Q230" s="67"/>
    </row>
    <row r="231" spans="1:17" ht="15.6">
      <c r="A231" s="67"/>
      <c r="B231" s="68"/>
      <c r="C231" s="40"/>
      <c r="D231" s="40"/>
      <c r="E231" s="40"/>
      <c r="F231" s="77"/>
      <c r="G231" s="77"/>
      <c r="H231" s="78"/>
      <c r="I231" s="6"/>
      <c r="J231" s="6"/>
      <c r="K231" s="79"/>
      <c r="N231" s="79"/>
      <c r="Q231" s="67"/>
    </row>
    <row r="232" spans="1:17" ht="15.6">
      <c r="A232" s="67"/>
      <c r="B232" s="68"/>
      <c r="C232" s="40"/>
      <c r="D232" s="40"/>
      <c r="E232" s="40"/>
      <c r="F232" s="77"/>
      <c r="G232" s="77"/>
      <c r="H232" s="78"/>
      <c r="I232" s="6"/>
      <c r="J232" s="6"/>
      <c r="K232" s="79"/>
      <c r="N232" s="79"/>
      <c r="Q232" s="67"/>
    </row>
    <row r="233" spans="1:17" ht="15.6">
      <c r="A233" s="67"/>
      <c r="B233" s="68"/>
      <c r="C233" s="40"/>
      <c r="D233" s="40"/>
      <c r="E233" s="40"/>
      <c r="F233" s="77"/>
      <c r="G233" s="77"/>
      <c r="H233" s="78"/>
      <c r="I233" s="6"/>
      <c r="J233" s="6"/>
      <c r="K233" s="79"/>
      <c r="N233" s="79"/>
      <c r="Q233" s="67"/>
    </row>
    <row r="234" spans="1:17" ht="15.6">
      <c r="A234" s="67"/>
      <c r="B234" s="68"/>
      <c r="C234" s="40"/>
      <c r="D234" s="40"/>
      <c r="E234" s="40"/>
      <c r="F234" s="77"/>
      <c r="G234" s="77"/>
      <c r="H234" s="78"/>
      <c r="I234" s="6"/>
      <c r="J234" s="6"/>
      <c r="K234" s="79"/>
      <c r="N234" s="79"/>
      <c r="Q234" s="67"/>
    </row>
    <row r="235" spans="1:17" ht="15.6">
      <c r="A235" s="67"/>
      <c r="B235" s="68"/>
      <c r="C235" s="40"/>
      <c r="D235" s="40"/>
      <c r="E235" s="40"/>
      <c r="F235" s="77"/>
      <c r="G235" s="77"/>
      <c r="H235" s="78"/>
      <c r="I235" s="6"/>
      <c r="J235" s="6"/>
      <c r="K235" s="79"/>
      <c r="N235" s="79"/>
      <c r="Q235" s="67"/>
    </row>
    <row r="236" spans="1:17" ht="15.6">
      <c r="A236" s="67"/>
      <c r="B236" s="68"/>
      <c r="C236" s="40"/>
      <c r="D236" s="40"/>
      <c r="E236" s="40"/>
      <c r="F236" s="77"/>
      <c r="G236" s="77"/>
      <c r="H236" s="78"/>
      <c r="I236" s="6"/>
      <c r="J236" s="6"/>
      <c r="K236" s="79"/>
      <c r="N236" s="79"/>
      <c r="Q236" s="67"/>
    </row>
    <row r="237" spans="1:17" ht="15.6">
      <c r="A237" s="67"/>
      <c r="B237" s="68"/>
      <c r="C237" s="40"/>
      <c r="D237" s="40"/>
      <c r="E237" s="40"/>
      <c r="F237" s="77"/>
      <c r="G237" s="77"/>
      <c r="H237" s="78"/>
      <c r="I237" s="6"/>
      <c r="J237" s="6"/>
      <c r="K237" s="79"/>
      <c r="N237" s="79"/>
      <c r="Q237" s="67"/>
    </row>
    <row r="238" spans="1:17" ht="15.6">
      <c r="A238" s="67"/>
      <c r="B238" s="68"/>
      <c r="C238" s="40"/>
      <c r="D238" s="40"/>
      <c r="E238" s="40"/>
      <c r="F238" s="77"/>
      <c r="G238" s="77"/>
      <c r="H238" s="78"/>
      <c r="I238" s="6"/>
      <c r="J238" s="6"/>
      <c r="K238" s="79"/>
      <c r="N238" s="79"/>
      <c r="Q238" s="67"/>
    </row>
    <row r="239" spans="1:17" ht="15.6">
      <c r="A239" s="67"/>
      <c r="B239" s="68"/>
      <c r="C239" s="40"/>
      <c r="D239" s="40"/>
      <c r="E239" s="40"/>
      <c r="F239" s="77"/>
      <c r="G239" s="77"/>
      <c r="H239" s="78"/>
      <c r="I239" s="6"/>
      <c r="J239" s="6"/>
      <c r="K239" s="79"/>
      <c r="N239" s="79"/>
      <c r="Q239" s="67"/>
    </row>
    <row r="240" spans="1:17" ht="15.6">
      <c r="A240" s="67"/>
      <c r="B240" s="68"/>
      <c r="C240" s="40"/>
      <c r="D240" s="40"/>
      <c r="E240" s="40"/>
      <c r="F240" s="77"/>
      <c r="G240" s="77"/>
      <c r="H240" s="78"/>
      <c r="I240" s="6"/>
      <c r="J240" s="6"/>
      <c r="K240" s="79"/>
      <c r="N240" s="79"/>
      <c r="Q240" s="67"/>
    </row>
    <row r="241" spans="1:17" ht="15.6">
      <c r="A241" s="67"/>
      <c r="B241" s="68"/>
      <c r="C241" s="40"/>
      <c r="D241" s="40"/>
      <c r="E241" s="40"/>
      <c r="F241" s="77"/>
      <c r="G241" s="77"/>
      <c r="H241" s="78"/>
      <c r="I241" s="6"/>
      <c r="J241" s="6"/>
      <c r="K241" s="79"/>
      <c r="N241" s="79"/>
      <c r="Q241" s="67"/>
    </row>
    <row r="242" spans="1:17" ht="15.6">
      <c r="A242" s="67"/>
      <c r="B242" s="68"/>
      <c r="C242" s="40"/>
      <c r="D242" s="40"/>
      <c r="E242" s="40"/>
      <c r="F242" s="77"/>
      <c r="G242" s="77"/>
      <c r="H242" s="78"/>
      <c r="I242" s="6"/>
      <c r="J242" s="6"/>
      <c r="K242" s="79"/>
      <c r="N242" s="79"/>
      <c r="Q242" s="67"/>
    </row>
    <row r="243" spans="1:17" ht="15.6">
      <c r="A243" s="67"/>
      <c r="B243" s="68"/>
      <c r="C243" s="40"/>
      <c r="D243" s="40"/>
      <c r="E243" s="40"/>
      <c r="F243" s="77"/>
      <c r="G243" s="77"/>
      <c r="H243" s="78"/>
      <c r="I243" s="6"/>
      <c r="J243" s="6"/>
      <c r="K243" s="79"/>
      <c r="N243" s="79"/>
      <c r="Q243" s="67"/>
    </row>
    <row r="244" spans="1:17" ht="15.6">
      <c r="A244" s="67"/>
      <c r="B244" s="68"/>
      <c r="C244" s="40"/>
      <c r="D244" s="40"/>
      <c r="E244" s="40"/>
      <c r="F244" s="77"/>
      <c r="G244" s="77"/>
      <c r="H244" s="78"/>
      <c r="I244" s="6"/>
      <c r="J244" s="6"/>
      <c r="K244" s="79"/>
      <c r="N244" s="79"/>
      <c r="Q244" s="67"/>
    </row>
    <row r="245" spans="1:17" ht="15.6">
      <c r="A245" s="67"/>
      <c r="B245" s="68"/>
      <c r="C245" s="40"/>
      <c r="D245" s="40"/>
      <c r="E245" s="40"/>
      <c r="F245" s="77"/>
      <c r="G245" s="77"/>
      <c r="H245" s="78"/>
      <c r="I245" s="6"/>
      <c r="J245" s="6"/>
      <c r="K245" s="79"/>
      <c r="N245" s="79"/>
      <c r="Q245" s="67"/>
    </row>
    <row r="246" spans="1:17" ht="15.6">
      <c r="A246" s="67"/>
      <c r="B246" s="68"/>
      <c r="C246" s="40"/>
      <c r="D246" s="40"/>
      <c r="E246" s="40"/>
      <c r="F246" s="77"/>
      <c r="G246" s="77"/>
      <c r="H246" s="78"/>
      <c r="I246" s="6"/>
      <c r="J246" s="6"/>
      <c r="K246" s="79"/>
      <c r="N246" s="79"/>
      <c r="Q246" s="67"/>
    </row>
    <row r="247" spans="1:17" ht="15.6">
      <c r="A247" s="67"/>
      <c r="B247" s="68"/>
      <c r="C247" s="40"/>
      <c r="D247" s="40"/>
      <c r="E247" s="40"/>
      <c r="F247" s="77"/>
      <c r="G247" s="77"/>
      <c r="H247" s="78"/>
      <c r="I247" s="6"/>
      <c r="J247" s="6"/>
      <c r="K247" s="79"/>
      <c r="N247" s="79"/>
      <c r="Q247" s="67"/>
    </row>
    <row r="248" spans="1:17" ht="15.6">
      <c r="A248" s="67"/>
      <c r="B248" s="68"/>
      <c r="C248" s="40"/>
      <c r="D248" s="40"/>
      <c r="E248" s="40"/>
      <c r="F248" s="77"/>
      <c r="G248" s="77"/>
      <c r="H248" s="78"/>
      <c r="I248" s="6"/>
      <c r="J248" s="6"/>
      <c r="K248" s="79"/>
      <c r="N248" s="79"/>
      <c r="Q248" s="67"/>
    </row>
    <row r="249" spans="1:17" ht="15.6">
      <c r="A249" s="67"/>
      <c r="B249" s="68"/>
      <c r="C249" s="40"/>
      <c r="D249" s="40"/>
      <c r="E249" s="40"/>
      <c r="F249" s="77"/>
      <c r="G249" s="77"/>
      <c r="H249" s="78"/>
      <c r="I249" s="6"/>
      <c r="J249" s="6"/>
      <c r="K249" s="79"/>
      <c r="N249" s="79"/>
      <c r="Q249" s="67"/>
    </row>
    <row r="250" spans="1:17" ht="15.6">
      <c r="A250" s="67"/>
      <c r="B250" s="68"/>
      <c r="C250" s="40"/>
      <c r="D250" s="40"/>
      <c r="E250" s="40"/>
      <c r="F250" s="77"/>
      <c r="G250" s="77"/>
      <c r="H250" s="78"/>
      <c r="I250" s="6"/>
      <c r="J250" s="6"/>
      <c r="K250" s="79"/>
      <c r="N250" s="79"/>
      <c r="Q250" s="67"/>
    </row>
    <row r="251" spans="1:17" ht="15.6">
      <c r="A251" s="67"/>
      <c r="B251" s="68"/>
      <c r="C251" s="40"/>
      <c r="D251" s="40"/>
      <c r="E251" s="40"/>
      <c r="F251" s="77"/>
      <c r="G251" s="77"/>
      <c r="H251" s="78"/>
      <c r="I251" s="6"/>
      <c r="J251" s="6"/>
      <c r="K251" s="79"/>
      <c r="N251" s="79"/>
      <c r="Q251" s="67"/>
    </row>
    <row r="252" spans="1:17" ht="15.6">
      <c r="A252" s="67"/>
      <c r="B252" s="68"/>
      <c r="C252" s="40"/>
      <c r="D252" s="40"/>
      <c r="E252" s="40"/>
      <c r="F252" s="77"/>
      <c r="G252" s="77"/>
      <c r="H252" s="78"/>
      <c r="I252" s="6"/>
      <c r="J252" s="6"/>
      <c r="K252" s="79"/>
      <c r="N252" s="79"/>
      <c r="Q252" s="67"/>
    </row>
    <row r="253" spans="1:17" ht="15.6">
      <c r="A253" s="67"/>
      <c r="B253" s="68"/>
      <c r="C253" s="40"/>
      <c r="D253" s="40"/>
      <c r="E253" s="40"/>
      <c r="F253" s="77"/>
      <c r="G253" s="77"/>
      <c r="H253" s="78"/>
      <c r="I253" s="6"/>
      <c r="J253" s="6"/>
      <c r="K253" s="79"/>
      <c r="N253" s="79"/>
      <c r="Q253" s="67"/>
    </row>
    <row r="254" spans="1:17" ht="15.6">
      <c r="A254" s="67"/>
      <c r="B254" s="68"/>
      <c r="C254" s="40"/>
      <c r="D254" s="40"/>
      <c r="E254" s="40"/>
      <c r="F254" s="77"/>
      <c r="G254" s="77"/>
      <c r="H254" s="78"/>
      <c r="I254" s="6"/>
      <c r="J254" s="6"/>
      <c r="K254" s="79"/>
      <c r="N254" s="79"/>
      <c r="Q254" s="67"/>
    </row>
    <row r="255" spans="1:17" ht="15.6">
      <c r="A255" s="67"/>
      <c r="B255" s="68"/>
      <c r="C255" s="40"/>
      <c r="D255" s="40"/>
      <c r="E255" s="40"/>
      <c r="F255" s="77"/>
      <c r="G255" s="77"/>
      <c r="H255" s="78"/>
      <c r="I255" s="6"/>
      <c r="J255" s="6"/>
      <c r="K255" s="79"/>
      <c r="N255" s="79"/>
      <c r="Q255" s="67"/>
    </row>
    <row r="256" spans="1:17" ht="15.6">
      <c r="A256" s="67"/>
      <c r="B256" s="68"/>
      <c r="C256" s="40"/>
      <c r="D256" s="40"/>
      <c r="E256" s="40"/>
      <c r="F256" s="77"/>
      <c r="G256" s="77"/>
      <c r="H256" s="78"/>
      <c r="I256" s="6"/>
      <c r="J256" s="6"/>
      <c r="K256" s="79"/>
      <c r="N256" s="79"/>
      <c r="Q256" s="67"/>
    </row>
    <row r="257" spans="1:17" ht="15.6">
      <c r="A257" s="67"/>
      <c r="B257" s="68"/>
      <c r="C257" s="40"/>
      <c r="D257" s="40"/>
      <c r="E257" s="40"/>
      <c r="F257" s="77"/>
      <c r="G257" s="77"/>
      <c r="H257" s="78"/>
      <c r="I257" s="6"/>
      <c r="J257" s="6"/>
      <c r="K257" s="79"/>
      <c r="N257" s="79"/>
      <c r="Q257" s="67"/>
    </row>
    <row r="258" spans="1:17" ht="15.6">
      <c r="A258" s="67"/>
      <c r="B258" s="68"/>
      <c r="C258" s="40"/>
      <c r="D258" s="40"/>
      <c r="E258" s="40"/>
      <c r="F258" s="77"/>
      <c r="G258" s="77"/>
      <c r="H258" s="78"/>
      <c r="I258" s="6"/>
      <c r="J258" s="6"/>
      <c r="K258" s="79"/>
      <c r="N258" s="79"/>
      <c r="Q258" s="67"/>
    </row>
    <row r="259" spans="1:17" ht="15.6">
      <c r="A259" s="67"/>
      <c r="B259" s="68"/>
      <c r="C259" s="40"/>
      <c r="D259" s="40"/>
      <c r="E259" s="40"/>
      <c r="F259" s="77"/>
      <c r="G259" s="77"/>
      <c r="H259" s="78"/>
      <c r="I259" s="6"/>
      <c r="J259" s="6"/>
      <c r="K259" s="79"/>
      <c r="N259" s="79"/>
      <c r="Q259" s="67"/>
    </row>
    <row r="260" spans="1:17" ht="15.6">
      <c r="A260" s="67"/>
      <c r="B260" s="68"/>
      <c r="C260" s="40"/>
      <c r="D260" s="40"/>
      <c r="E260" s="40"/>
      <c r="F260" s="77"/>
      <c r="G260" s="77"/>
      <c r="H260" s="78"/>
      <c r="I260" s="6"/>
      <c r="J260" s="6"/>
      <c r="K260" s="79"/>
      <c r="N260" s="79"/>
      <c r="Q260" s="67"/>
    </row>
    <row r="261" spans="1:17" ht="15.6">
      <c r="A261" s="67"/>
      <c r="B261" s="68"/>
      <c r="C261" s="40"/>
      <c r="D261" s="40"/>
      <c r="E261" s="40"/>
      <c r="F261" s="77"/>
      <c r="G261" s="77"/>
      <c r="H261" s="78"/>
      <c r="I261" s="6"/>
      <c r="J261" s="6"/>
      <c r="K261" s="79"/>
      <c r="N261" s="79"/>
      <c r="Q261" s="67"/>
    </row>
    <row r="262" spans="1:17" ht="15.6">
      <c r="A262" s="67"/>
      <c r="B262" s="68"/>
      <c r="C262" s="40"/>
      <c r="D262" s="40"/>
      <c r="E262" s="40"/>
      <c r="F262" s="77"/>
      <c r="G262" s="77"/>
      <c r="H262" s="78"/>
      <c r="I262" s="6"/>
      <c r="J262" s="6"/>
      <c r="K262" s="79"/>
      <c r="N262" s="79"/>
      <c r="Q262" s="67"/>
    </row>
    <row r="263" spans="1:17" ht="15.6">
      <c r="A263" s="67"/>
      <c r="B263" s="68"/>
      <c r="C263" s="40"/>
      <c r="D263" s="40"/>
      <c r="E263" s="40"/>
      <c r="F263" s="77"/>
      <c r="G263" s="77"/>
      <c r="H263" s="78"/>
      <c r="I263" s="6"/>
      <c r="J263" s="6"/>
      <c r="K263" s="79"/>
      <c r="N263" s="79"/>
      <c r="Q263" s="67"/>
    </row>
    <row r="264" spans="1:17" ht="15.6">
      <c r="A264" s="67"/>
      <c r="B264" s="68"/>
      <c r="C264" s="40"/>
      <c r="D264" s="40"/>
      <c r="E264" s="40"/>
      <c r="F264" s="77"/>
      <c r="G264" s="77"/>
      <c r="H264" s="78"/>
      <c r="I264" s="6"/>
      <c r="J264" s="6"/>
      <c r="K264" s="79"/>
      <c r="N264" s="79"/>
      <c r="Q264" s="67"/>
    </row>
    <row r="265" spans="1:17" ht="15.6">
      <c r="A265" s="67"/>
      <c r="B265" s="68"/>
      <c r="C265" s="40"/>
      <c r="D265" s="40"/>
      <c r="E265" s="40"/>
      <c r="F265" s="77"/>
      <c r="G265" s="77"/>
      <c r="H265" s="78"/>
      <c r="I265" s="6"/>
      <c r="J265" s="6"/>
      <c r="K265" s="79"/>
      <c r="N265" s="79"/>
      <c r="Q265" s="67"/>
    </row>
    <row r="266" spans="1:17" ht="15.6">
      <c r="A266" s="67"/>
      <c r="B266" s="68"/>
      <c r="C266" s="40"/>
      <c r="D266" s="40"/>
      <c r="E266" s="40"/>
      <c r="F266" s="77"/>
      <c r="G266" s="77"/>
      <c r="H266" s="78"/>
      <c r="I266" s="6"/>
      <c r="J266" s="6"/>
      <c r="K266" s="79"/>
      <c r="N266" s="79"/>
      <c r="Q266" s="67"/>
    </row>
    <row r="267" spans="1:17" ht="15.6">
      <c r="A267" s="67"/>
      <c r="B267" s="68"/>
      <c r="C267" s="40"/>
      <c r="D267" s="40"/>
      <c r="E267" s="40"/>
      <c r="F267" s="77"/>
      <c r="G267" s="77"/>
      <c r="H267" s="78"/>
      <c r="I267" s="6"/>
      <c r="J267" s="6"/>
      <c r="K267" s="79"/>
      <c r="N267" s="79"/>
      <c r="Q267" s="67"/>
    </row>
    <row r="268" spans="1:17" ht="15.6">
      <c r="A268" s="67"/>
      <c r="B268" s="68"/>
      <c r="C268" s="40"/>
      <c r="D268" s="40"/>
      <c r="E268" s="40"/>
      <c r="F268" s="77"/>
      <c r="G268" s="77"/>
      <c r="H268" s="78"/>
      <c r="I268" s="6"/>
      <c r="J268" s="6"/>
      <c r="K268" s="79"/>
      <c r="N268" s="79"/>
      <c r="Q268" s="67"/>
    </row>
    <row r="269" spans="1:17" ht="15.6">
      <c r="A269" s="67"/>
      <c r="B269" s="68"/>
      <c r="C269" s="40"/>
      <c r="D269" s="40"/>
      <c r="E269" s="40"/>
      <c r="F269" s="77"/>
      <c r="G269" s="77"/>
      <c r="H269" s="78"/>
      <c r="I269" s="6"/>
      <c r="J269" s="6"/>
      <c r="K269" s="79"/>
      <c r="N269" s="79"/>
      <c r="Q269" s="67"/>
    </row>
    <row r="270" spans="1:17" ht="15.6">
      <c r="A270" s="67"/>
      <c r="B270" s="68"/>
      <c r="C270" s="40"/>
      <c r="D270" s="40"/>
      <c r="E270" s="40"/>
      <c r="F270" s="77"/>
      <c r="G270" s="77"/>
      <c r="H270" s="78"/>
      <c r="I270" s="6"/>
      <c r="J270" s="6"/>
      <c r="K270" s="79"/>
      <c r="N270" s="79"/>
      <c r="Q270" s="67"/>
    </row>
    <row r="271" spans="1:17" ht="15.6">
      <c r="A271" s="67"/>
      <c r="B271" s="68"/>
      <c r="C271" s="40"/>
      <c r="D271" s="40"/>
      <c r="E271" s="40"/>
      <c r="F271" s="77"/>
      <c r="G271" s="77"/>
      <c r="H271" s="78"/>
      <c r="I271" s="6"/>
      <c r="J271" s="6"/>
      <c r="K271" s="79"/>
      <c r="N271" s="79"/>
      <c r="Q271" s="67"/>
    </row>
    <row r="272" spans="1:17" ht="15.6">
      <c r="A272" s="67"/>
      <c r="B272" s="68"/>
      <c r="C272" s="40"/>
      <c r="D272" s="40"/>
      <c r="E272" s="40"/>
      <c r="F272" s="77"/>
      <c r="G272" s="77"/>
      <c r="H272" s="78"/>
      <c r="I272" s="6"/>
      <c r="J272" s="6"/>
      <c r="K272" s="79"/>
      <c r="N272" s="79"/>
      <c r="Q272" s="67"/>
    </row>
    <row r="273" spans="1:17" ht="15.6">
      <c r="A273" s="67"/>
      <c r="B273" s="68"/>
      <c r="C273" s="40"/>
      <c r="D273" s="40"/>
      <c r="E273" s="40"/>
      <c r="F273" s="77"/>
      <c r="G273" s="77"/>
      <c r="H273" s="78"/>
      <c r="I273" s="6"/>
      <c r="J273" s="6"/>
      <c r="K273" s="79"/>
      <c r="N273" s="79"/>
      <c r="Q273" s="67"/>
    </row>
    <row r="274" spans="1:17" ht="15.6">
      <c r="A274" s="67"/>
      <c r="B274" s="68"/>
      <c r="C274" s="40"/>
      <c r="D274" s="40"/>
      <c r="E274" s="40"/>
      <c r="F274" s="77"/>
      <c r="G274" s="77"/>
      <c r="H274" s="78"/>
      <c r="I274" s="6"/>
      <c r="J274" s="6"/>
      <c r="K274" s="79"/>
      <c r="N274" s="79"/>
      <c r="Q274" s="67"/>
    </row>
    <row r="275" spans="1:17" ht="15.6">
      <c r="A275" s="67"/>
      <c r="B275" s="68"/>
      <c r="C275" s="40"/>
      <c r="D275" s="40"/>
      <c r="E275" s="40"/>
      <c r="F275" s="77"/>
      <c r="G275" s="77"/>
      <c r="H275" s="78"/>
      <c r="I275" s="6"/>
      <c r="J275" s="6"/>
      <c r="K275" s="79"/>
      <c r="N275" s="79"/>
      <c r="Q275" s="67"/>
    </row>
    <row r="276" spans="1:17" ht="15.6">
      <c r="A276" s="67"/>
      <c r="B276" s="68"/>
      <c r="C276" s="40"/>
      <c r="D276" s="40"/>
      <c r="E276" s="40"/>
      <c r="F276" s="77"/>
      <c r="G276" s="77"/>
      <c r="H276" s="78"/>
      <c r="I276" s="6"/>
      <c r="J276" s="6"/>
      <c r="K276" s="79"/>
      <c r="N276" s="79"/>
      <c r="Q276" s="67"/>
    </row>
    <row r="277" spans="1:17" ht="15.6">
      <c r="A277" s="67"/>
      <c r="B277" s="68"/>
      <c r="C277" s="40"/>
      <c r="D277" s="40"/>
      <c r="E277" s="40"/>
      <c r="F277" s="77"/>
      <c r="G277" s="77"/>
      <c r="H277" s="78"/>
      <c r="I277" s="6"/>
      <c r="J277" s="6"/>
      <c r="K277" s="79"/>
      <c r="N277" s="79"/>
      <c r="Q277" s="67"/>
    </row>
    <row r="278" spans="1:17" ht="15.6">
      <c r="A278" s="67"/>
      <c r="B278" s="68"/>
      <c r="C278" s="40"/>
      <c r="D278" s="40"/>
      <c r="E278" s="40"/>
      <c r="F278" s="77"/>
      <c r="G278" s="77"/>
      <c r="H278" s="78"/>
      <c r="I278" s="6"/>
      <c r="J278" s="6"/>
      <c r="K278" s="79"/>
      <c r="N278" s="79"/>
      <c r="Q278" s="67"/>
    </row>
    <row r="279" spans="1:17" ht="15.6">
      <c r="A279" s="67"/>
      <c r="B279" s="68"/>
      <c r="C279" s="40"/>
      <c r="D279" s="40"/>
      <c r="E279" s="40"/>
      <c r="F279" s="77"/>
      <c r="G279" s="77"/>
      <c r="H279" s="78"/>
      <c r="I279" s="6"/>
      <c r="J279" s="6"/>
      <c r="K279" s="79"/>
      <c r="N279" s="79"/>
      <c r="Q279" s="67"/>
    </row>
    <row r="280" spans="1:17" ht="15.6">
      <c r="A280" s="67"/>
      <c r="B280" s="68"/>
      <c r="C280" s="40"/>
      <c r="D280" s="40"/>
      <c r="E280" s="40"/>
      <c r="F280" s="77"/>
      <c r="G280" s="77"/>
      <c r="H280" s="78"/>
      <c r="I280" s="6"/>
      <c r="J280" s="6"/>
      <c r="K280" s="79"/>
      <c r="N280" s="79"/>
      <c r="Q280" s="67"/>
    </row>
    <row r="281" spans="1:17" ht="15.6">
      <c r="A281" s="67"/>
      <c r="B281" s="68"/>
      <c r="C281" s="40"/>
      <c r="D281" s="40"/>
      <c r="E281" s="40"/>
      <c r="F281" s="77"/>
      <c r="G281" s="77"/>
      <c r="H281" s="78"/>
      <c r="I281" s="6"/>
      <c r="J281" s="6"/>
      <c r="K281" s="79"/>
      <c r="N281" s="79"/>
      <c r="Q281" s="67"/>
    </row>
    <row r="282" spans="1:17" ht="15.6">
      <c r="A282" s="67"/>
      <c r="B282" s="68"/>
      <c r="C282" s="40"/>
      <c r="D282" s="40"/>
      <c r="E282" s="40"/>
      <c r="F282" s="77"/>
      <c r="G282" s="77"/>
      <c r="H282" s="78"/>
      <c r="I282" s="6"/>
      <c r="J282" s="6"/>
      <c r="K282" s="79"/>
      <c r="N282" s="79"/>
      <c r="Q282" s="67"/>
    </row>
    <row r="283" spans="1:17" ht="15.6">
      <c r="A283" s="67"/>
      <c r="B283" s="68"/>
      <c r="C283" s="40"/>
      <c r="D283" s="40"/>
      <c r="E283" s="40"/>
      <c r="F283" s="77"/>
      <c r="G283" s="77"/>
      <c r="H283" s="78"/>
      <c r="I283" s="6"/>
      <c r="J283" s="6"/>
      <c r="K283" s="79"/>
      <c r="N283" s="79"/>
      <c r="Q283" s="67"/>
    </row>
    <row r="284" spans="1:17" ht="15.6">
      <c r="A284" s="67"/>
      <c r="B284" s="68"/>
      <c r="C284" s="40"/>
      <c r="D284" s="40"/>
      <c r="E284" s="40"/>
      <c r="F284" s="77"/>
      <c r="G284" s="77"/>
      <c r="H284" s="78"/>
      <c r="I284" s="6"/>
      <c r="J284" s="6"/>
      <c r="K284" s="79"/>
      <c r="N284" s="79"/>
      <c r="Q284" s="67"/>
    </row>
    <row r="285" spans="1:17" ht="15.6">
      <c r="A285" s="67"/>
      <c r="B285" s="68"/>
      <c r="C285" s="40"/>
      <c r="D285" s="40"/>
      <c r="E285" s="40"/>
      <c r="F285" s="77"/>
      <c r="G285" s="77"/>
      <c r="H285" s="78"/>
      <c r="I285" s="6"/>
      <c r="J285" s="6"/>
      <c r="K285" s="79"/>
      <c r="N285" s="79"/>
      <c r="Q285" s="67"/>
    </row>
    <row r="286" spans="1:17" ht="15.6">
      <c r="A286" s="67"/>
      <c r="B286" s="68"/>
      <c r="C286" s="40"/>
      <c r="D286" s="40"/>
      <c r="E286" s="40"/>
      <c r="F286" s="77"/>
      <c r="G286" s="77"/>
      <c r="H286" s="78"/>
      <c r="I286" s="6"/>
      <c r="J286" s="6"/>
      <c r="K286" s="79"/>
      <c r="N286" s="79"/>
      <c r="Q286" s="67"/>
    </row>
    <row r="287" spans="1:17" ht="15.6">
      <c r="A287" s="67"/>
      <c r="B287" s="68"/>
      <c r="C287" s="40"/>
      <c r="D287" s="40"/>
      <c r="E287" s="40"/>
      <c r="F287" s="77"/>
      <c r="G287" s="77"/>
      <c r="H287" s="78"/>
      <c r="I287" s="6"/>
      <c r="J287" s="6"/>
      <c r="K287" s="79"/>
      <c r="N287" s="79"/>
      <c r="Q287" s="67"/>
    </row>
    <row r="288" spans="1:17" ht="15.6">
      <c r="A288" s="67"/>
      <c r="B288" s="68"/>
      <c r="C288" s="40"/>
      <c r="D288" s="40"/>
      <c r="E288" s="40"/>
      <c r="F288" s="77"/>
      <c r="G288" s="77"/>
      <c r="H288" s="78"/>
      <c r="I288" s="6"/>
      <c r="J288" s="6"/>
      <c r="K288" s="79"/>
      <c r="N288" s="79"/>
      <c r="Q288" s="67"/>
    </row>
    <row r="289" spans="1:17" ht="15.6">
      <c r="A289" s="67"/>
      <c r="B289" s="68"/>
      <c r="C289" s="40"/>
      <c r="D289" s="40"/>
      <c r="E289" s="40"/>
      <c r="F289" s="77"/>
      <c r="G289" s="77"/>
      <c r="H289" s="78"/>
      <c r="I289" s="6"/>
      <c r="J289" s="6"/>
      <c r="K289" s="79"/>
      <c r="N289" s="79"/>
      <c r="Q289" s="67"/>
    </row>
    <row r="290" spans="1:17" ht="15.6">
      <c r="A290" s="67"/>
      <c r="B290" s="68"/>
      <c r="C290" s="40"/>
      <c r="D290" s="40"/>
      <c r="E290" s="40"/>
      <c r="F290" s="77"/>
      <c r="G290" s="77"/>
      <c r="H290" s="78"/>
      <c r="I290" s="6"/>
      <c r="J290" s="6"/>
      <c r="K290" s="79"/>
      <c r="N290" s="79"/>
      <c r="Q290" s="67"/>
    </row>
    <row r="291" spans="1:17" ht="15.6">
      <c r="A291" s="67"/>
      <c r="B291" s="68"/>
      <c r="C291" s="40"/>
      <c r="D291" s="40"/>
      <c r="E291" s="40"/>
      <c r="F291" s="77"/>
      <c r="G291" s="77"/>
      <c r="H291" s="78"/>
      <c r="I291" s="6"/>
      <c r="J291" s="6"/>
      <c r="K291" s="79"/>
      <c r="N291" s="79"/>
      <c r="Q291" s="67"/>
    </row>
    <row r="292" spans="1:17" ht="15.6">
      <c r="A292" s="67"/>
      <c r="B292" s="68"/>
      <c r="C292" s="40"/>
      <c r="D292" s="40"/>
      <c r="E292" s="40"/>
      <c r="F292" s="77"/>
      <c r="G292" s="77"/>
      <c r="H292" s="78"/>
      <c r="I292" s="6"/>
      <c r="J292" s="6"/>
      <c r="K292" s="79"/>
      <c r="N292" s="79"/>
      <c r="Q292" s="67"/>
    </row>
    <row r="293" spans="1:17" ht="15.6">
      <c r="A293" s="67"/>
      <c r="B293" s="68"/>
      <c r="C293" s="40"/>
      <c r="D293" s="40"/>
      <c r="E293" s="40"/>
      <c r="F293" s="77"/>
      <c r="G293" s="77"/>
      <c r="H293" s="78"/>
      <c r="I293" s="6"/>
      <c r="J293" s="6"/>
      <c r="K293" s="79"/>
      <c r="N293" s="79"/>
      <c r="Q293" s="67"/>
    </row>
    <row r="294" spans="1:17" ht="15.6">
      <c r="A294" s="67"/>
      <c r="B294" s="68"/>
      <c r="C294" s="40"/>
      <c r="D294" s="40"/>
      <c r="E294" s="40"/>
      <c r="F294" s="77"/>
      <c r="G294" s="77"/>
      <c r="H294" s="78"/>
      <c r="I294" s="6"/>
      <c r="J294" s="6"/>
      <c r="K294" s="79"/>
      <c r="N294" s="79"/>
      <c r="Q294" s="67"/>
    </row>
    <row r="295" spans="1:17" ht="15.6">
      <c r="A295" s="67"/>
      <c r="B295" s="68"/>
      <c r="C295" s="40"/>
      <c r="D295" s="40"/>
      <c r="E295" s="40"/>
      <c r="F295" s="77"/>
      <c r="G295" s="77"/>
      <c r="H295" s="78"/>
      <c r="I295" s="6"/>
      <c r="J295" s="6"/>
      <c r="K295" s="79"/>
      <c r="N295" s="79"/>
      <c r="Q295" s="67"/>
    </row>
    <row r="296" spans="1:17" ht="15.6">
      <c r="A296" s="67"/>
      <c r="B296" s="68"/>
      <c r="C296" s="40"/>
      <c r="D296" s="40"/>
      <c r="E296" s="40"/>
      <c r="F296" s="77"/>
      <c r="G296" s="77"/>
      <c r="H296" s="78"/>
      <c r="I296" s="6"/>
      <c r="J296" s="6"/>
      <c r="K296" s="79"/>
      <c r="N296" s="79"/>
      <c r="Q296" s="67"/>
    </row>
    <row r="297" spans="1:17" ht="15.6">
      <c r="A297" s="67"/>
      <c r="B297" s="68"/>
      <c r="C297" s="40"/>
      <c r="D297" s="40"/>
      <c r="E297" s="40"/>
      <c r="F297" s="77"/>
      <c r="G297" s="77"/>
      <c r="H297" s="78"/>
      <c r="I297" s="6"/>
      <c r="J297" s="6"/>
      <c r="K297" s="79"/>
      <c r="N297" s="79"/>
      <c r="Q297" s="67"/>
    </row>
    <row r="298" spans="1:17" ht="15.6">
      <c r="A298" s="67"/>
      <c r="B298" s="68"/>
      <c r="C298" s="40"/>
      <c r="D298" s="40"/>
      <c r="E298" s="40"/>
      <c r="F298" s="77"/>
      <c r="G298" s="77"/>
      <c r="H298" s="78"/>
      <c r="I298" s="6"/>
      <c r="J298" s="6"/>
      <c r="K298" s="79"/>
      <c r="N298" s="79"/>
      <c r="Q298" s="67"/>
    </row>
    <row r="299" spans="1:17" ht="15.6">
      <c r="A299" s="67"/>
      <c r="B299" s="68"/>
      <c r="C299" s="40"/>
      <c r="D299" s="40"/>
      <c r="E299" s="40"/>
      <c r="F299" s="77"/>
      <c r="G299" s="77"/>
      <c r="H299" s="78"/>
      <c r="I299" s="6"/>
      <c r="J299" s="6"/>
      <c r="K299" s="79"/>
      <c r="N299" s="79"/>
      <c r="Q299" s="67"/>
    </row>
    <row r="300" spans="1:17" ht="15.6">
      <c r="A300" s="67"/>
      <c r="B300" s="68"/>
      <c r="C300" s="40"/>
      <c r="D300" s="40"/>
      <c r="E300" s="40"/>
      <c r="F300" s="77"/>
      <c r="G300" s="77"/>
      <c r="H300" s="78"/>
      <c r="I300" s="6"/>
      <c r="J300" s="6"/>
      <c r="K300" s="79"/>
      <c r="N300" s="79"/>
      <c r="Q300" s="67"/>
    </row>
    <row r="301" spans="1:17" ht="15.6">
      <c r="A301" s="67"/>
      <c r="B301" s="68"/>
      <c r="C301" s="40"/>
      <c r="D301" s="40"/>
      <c r="E301" s="40"/>
      <c r="F301" s="77"/>
      <c r="G301" s="77"/>
      <c r="H301" s="78"/>
      <c r="I301" s="6"/>
      <c r="J301" s="6"/>
      <c r="K301" s="79"/>
      <c r="N301" s="79"/>
      <c r="Q301" s="67"/>
    </row>
    <row r="302" spans="1:17" ht="15.6">
      <c r="A302" s="67"/>
      <c r="B302" s="68"/>
      <c r="C302" s="40"/>
      <c r="D302" s="40"/>
      <c r="E302" s="40"/>
      <c r="F302" s="77"/>
      <c r="G302" s="77"/>
      <c r="H302" s="78"/>
      <c r="I302" s="6"/>
      <c r="J302" s="6"/>
      <c r="K302" s="79"/>
      <c r="N302" s="79"/>
      <c r="Q302" s="67"/>
    </row>
    <row r="303" spans="1:17" ht="15.6">
      <c r="A303" s="67"/>
      <c r="B303" s="68"/>
      <c r="C303" s="40"/>
      <c r="D303" s="40"/>
      <c r="E303" s="40"/>
      <c r="F303" s="77"/>
      <c r="G303" s="77"/>
      <c r="H303" s="78"/>
      <c r="I303" s="6"/>
      <c r="J303" s="6"/>
      <c r="K303" s="79"/>
      <c r="N303" s="79"/>
      <c r="Q303" s="67"/>
    </row>
    <row r="304" spans="1:17" ht="15.6">
      <c r="A304" s="67"/>
      <c r="B304" s="68"/>
      <c r="C304" s="40"/>
      <c r="D304" s="40"/>
      <c r="E304" s="40"/>
      <c r="F304" s="77"/>
      <c r="G304" s="77"/>
      <c r="H304" s="78"/>
      <c r="I304" s="6"/>
      <c r="J304" s="6"/>
      <c r="K304" s="79"/>
      <c r="N304" s="79"/>
      <c r="Q304" s="67"/>
    </row>
    <row r="305" spans="1:17" ht="15.6">
      <c r="A305" s="67"/>
      <c r="B305" s="68"/>
      <c r="C305" s="40"/>
      <c r="D305" s="40"/>
      <c r="E305" s="40"/>
      <c r="F305" s="77"/>
      <c r="G305" s="77"/>
      <c r="H305" s="78"/>
      <c r="I305" s="6"/>
      <c r="J305" s="6"/>
      <c r="K305" s="79"/>
      <c r="N305" s="79"/>
      <c r="Q305" s="67"/>
    </row>
    <row r="306" spans="1:17" ht="15.6">
      <c r="A306" s="67"/>
      <c r="B306" s="68"/>
      <c r="C306" s="40"/>
      <c r="D306" s="40"/>
      <c r="E306" s="40"/>
      <c r="F306" s="77"/>
      <c r="G306" s="77"/>
      <c r="H306" s="78"/>
      <c r="I306" s="6"/>
      <c r="J306" s="6"/>
      <c r="K306" s="79"/>
      <c r="N306" s="79"/>
      <c r="Q306" s="67"/>
    </row>
    <row r="307" spans="1:17" ht="15.6">
      <c r="A307" s="67"/>
      <c r="B307" s="68"/>
      <c r="C307" s="40"/>
      <c r="D307" s="40"/>
      <c r="E307" s="40"/>
      <c r="F307" s="77"/>
      <c r="G307" s="77"/>
      <c r="H307" s="78"/>
      <c r="I307" s="6"/>
      <c r="J307" s="6"/>
      <c r="K307" s="79"/>
      <c r="N307" s="79"/>
      <c r="Q307" s="67"/>
    </row>
    <row r="308" spans="1:17" ht="15.6">
      <c r="A308" s="67"/>
      <c r="B308" s="68"/>
      <c r="C308" s="40"/>
      <c r="D308" s="40"/>
      <c r="E308" s="40"/>
      <c r="F308" s="77"/>
      <c r="G308" s="77"/>
      <c r="H308" s="78"/>
      <c r="I308" s="6"/>
      <c r="J308" s="6"/>
      <c r="K308" s="79"/>
      <c r="N308" s="79"/>
      <c r="Q308" s="67"/>
    </row>
    <row r="309" spans="1:17" ht="15.6">
      <c r="A309" s="67"/>
      <c r="B309" s="68"/>
      <c r="C309" s="40"/>
      <c r="D309" s="40"/>
      <c r="E309" s="40"/>
      <c r="F309" s="77"/>
      <c r="G309" s="77"/>
      <c r="H309" s="78"/>
      <c r="I309" s="6"/>
      <c r="J309" s="6"/>
      <c r="K309" s="79"/>
      <c r="N309" s="79"/>
      <c r="Q309" s="67"/>
    </row>
    <row r="310" spans="1:17" ht="15.6">
      <c r="A310" s="67"/>
      <c r="B310" s="68"/>
      <c r="C310" s="40"/>
      <c r="D310" s="40"/>
      <c r="E310" s="40"/>
      <c r="F310" s="77"/>
      <c r="G310" s="77"/>
      <c r="H310" s="78"/>
      <c r="I310" s="6"/>
      <c r="J310" s="6"/>
      <c r="K310" s="79"/>
      <c r="N310" s="79"/>
      <c r="Q310" s="67"/>
    </row>
    <row r="311" spans="1:17" ht="15.6">
      <c r="A311" s="67"/>
      <c r="B311" s="68"/>
      <c r="C311" s="40"/>
      <c r="D311" s="40"/>
      <c r="E311" s="40"/>
      <c r="F311" s="77"/>
      <c r="G311" s="77"/>
      <c r="H311" s="78"/>
      <c r="I311" s="6"/>
      <c r="J311" s="6"/>
      <c r="K311" s="79"/>
      <c r="N311" s="79"/>
      <c r="Q311" s="67"/>
    </row>
    <row r="312" spans="1:17" ht="15.6">
      <c r="A312" s="67"/>
      <c r="B312" s="68"/>
      <c r="C312" s="40"/>
      <c r="D312" s="40"/>
      <c r="E312" s="40"/>
      <c r="F312" s="77"/>
      <c r="G312" s="77"/>
      <c r="H312" s="78"/>
      <c r="I312" s="6"/>
      <c r="J312" s="6"/>
      <c r="K312" s="79"/>
      <c r="N312" s="79"/>
      <c r="Q312" s="67"/>
    </row>
    <row r="313" spans="1:17" ht="15.6">
      <c r="A313" s="67"/>
      <c r="B313" s="68"/>
      <c r="C313" s="40"/>
      <c r="D313" s="40"/>
      <c r="E313" s="40"/>
      <c r="F313" s="77"/>
      <c r="G313" s="77"/>
      <c r="H313" s="78"/>
      <c r="I313" s="6"/>
      <c r="J313" s="6"/>
      <c r="K313" s="79"/>
      <c r="N313" s="79"/>
      <c r="Q313" s="67"/>
    </row>
    <row r="314" spans="1:17" ht="15.6">
      <c r="A314" s="67"/>
      <c r="B314" s="68"/>
      <c r="C314" s="40"/>
      <c r="D314" s="40"/>
      <c r="E314" s="40"/>
      <c r="F314" s="77"/>
      <c r="G314" s="77"/>
      <c r="H314" s="78"/>
      <c r="I314" s="6"/>
      <c r="J314" s="6"/>
      <c r="K314" s="79"/>
      <c r="N314" s="79"/>
      <c r="Q314" s="67"/>
    </row>
    <row r="315" spans="1:17" ht="15.6">
      <c r="A315" s="67"/>
      <c r="B315" s="68"/>
      <c r="C315" s="40"/>
      <c r="D315" s="40"/>
      <c r="E315" s="40"/>
      <c r="F315" s="77"/>
      <c r="G315" s="77"/>
      <c r="H315" s="78"/>
      <c r="I315" s="6"/>
      <c r="J315" s="6"/>
      <c r="K315" s="79"/>
      <c r="N315" s="79"/>
      <c r="Q315" s="67"/>
    </row>
    <row r="316" spans="1:17" ht="15.6">
      <c r="A316" s="67"/>
      <c r="B316" s="68"/>
      <c r="C316" s="40"/>
      <c r="D316" s="40"/>
      <c r="E316" s="40"/>
      <c r="F316" s="77"/>
      <c r="G316" s="77"/>
      <c r="H316" s="78"/>
      <c r="I316" s="6"/>
      <c r="J316" s="6"/>
      <c r="K316" s="79"/>
      <c r="N316" s="79"/>
      <c r="Q316" s="67"/>
    </row>
    <row r="317" spans="1:17" ht="15.6">
      <c r="A317" s="67"/>
      <c r="B317" s="68"/>
      <c r="C317" s="40"/>
      <c r="D317" s="40"/>
      <c r="E317" s="40"/>
      <c r="F317" s="77"/>
      <c r="G317" s="77"/>
      <c r="H317" s="78"/>
      <c r="I317" s="6"/>
      <c r="J317" s="6"/>
      <c r="K317" s="79"/>
      <c r="N317" s="79"/>
      <c r="Q317" s="67"/>
    </row>
    <row r="318" spans="1:17" ht="15.6">
      <c r="A318" s="67"/>
      <c r="B318" s="68"/>
      <c r="C318" s="40"/>
      <c r="D318" s="40"/>
      <c r="E318" s="40"/>
      <c r="F318" s="77"/>
      <c r="G318" s="77"/>
      <c r="H318" s="78"/>
      <c r="I318" s="6"/>
      <c r="J318" s="6"/>
      <c r="K318" s="79"/>
      <c r="N318" s="79"/>
      <c r="Q318" s="67"/>
    </row>
    <row r="319" spans="1:17" ht="15.6">
      <c r="A319" s="67"/>
      <c r="B319" s="68"/>
      <c r="C319" s="40"/>
      <c r="D319" s="40"/>
      <c r="E319" s="40"/>
      <c r="F319" s="77"/>
      <c r="G319" s="77"/>
      <c r="H319" s="78"/>
      <c r="I319" s="6"/>
      <c r="J319" s="6"/>
      <c r="K319" s="79"/>
      <c r="N319" s="79"/>
      <c r="Q319" s="67"/>
    </row>
    <row r="320" spans="1:17" ht="15.6">
      <c r="A320" s="67"/>
      <c r="B320" s="68"/>
      <c r="C320" s="40"/>
      <c r="D320" s="40"/>
      <c r="E320" s="40"/>
      <c r="F320" s="77"/>
      <c r="G320" s="77"/>
      <c r="H320" s="78"/>
      <c r="I320" s="6"/>
      <c r="J320" s="6"/>
      <c r="K320" s="79"/>
      <c r="N320" s="79"/>
      <c r="Q320" s="67"/>
    </row>
    <row r="321" spans="1:17" ht="15.6">
      <c r="A321" s="67"/>
      <c r="B321" s="68"/>
      <c r="C321" s="40"/>
      <c r="D321" s="40"/>
      <c r="E321" s="40"/>
      <c r="F321" s="77"/>
      <c r="G321" s="77"/>
      <c r="H321" s="78"/>
      <c r="I321" s="6"/>
      <c r="J321" s="6"/>
      <c r="K321" s="79"/>
      <c r="N321" s="79"/>
      <c r="Q321" s="67"/>
    </row>
    <row r="322" spans="1:17" ht="15.6">
      <c r="A322" s="67"/>
      <c r="B322" s="68"/>
      <c r="C322" s="40"/>
      <c r="D322" s="40"/>
      <c r="E322" s="40"/>
      <c r="F322" s="77"/>
      <c r="G322" s="77"/>
      <c r="H322" s="78"/>
      <c r="I322" s="6"/>
      <c r="J322" s="6"/>
      <c r="K322" s="79"/>
      <c r="N322" s="79"/>
      <c r="Q322" s="67"/>
    </row>
    <row r="323" spans="1:17" ht="15.6">
      <c r="A323" s="67"/>
      <c r="B323" s="68"/>
      <c r="C323" s="40"/>
      <c r="D323" s="40"/>
      <c r="E323" s="40"/>
      <c r="F323" s="77"/>
      <c r="G323" s="77"/>
      <c r="H323" s="78"/>
      <c r="I323" s="6"/>
      <c r="J323" s="6"/>
      <c r="K323" s="79"/>
      <c r="N323" s="79"/>
      <c r="Q323" s="67"/>
    </row>
    <row r="324" spans="1:17" ht="15.6">
      <c r="A324" s="67"/>
      <c r="B324" s="68"/>
      <c r="C324" s="40"/>
      <c r="D324" s="40"/>
      <c r="E324" s="40"/>
      <c r="F324" s="77"/>
      <c r="G324" s="77"/>
      <c r="H324" s="78"/>
      <c r="I324" s="6"/>
      <c r="J324" s="6"/>
      <c r="K324" s="79"/>
      <c r="N324" s="79"/>
      <c r="Q324" s="67"/>
    </row>
    <row r="325" spans="1:17" ht="15.6">
      <c r="A325" s="67"/>
      <c r="B325" s="68"/>
      <c r="C325" s="40"/>
      <c r="D325" s="40"/>
      <c r="E325" s="40"/>
      <c r="F325" s="77"/>
      <c r="G325" s="77"/>
      <c r="H325" s="78"/>
      <c r="I325" s="6"/>
      <c r="J325" s="6"/>
      <c r="K325" s="79"/>
      <c r="N325" s="79"/>
      <c r="Q325" s="67"/>
    </row>
    <row r="326" spans="1:17" ht="15.6">
      <c r="A326" s="67"/>
      <c r="B326" s="68"/>
      <c r="C326" s="40"/>
      <c r="D326" s="40"/>
      <c r="E326" s="40"/>
      <c r="F326" s="77"/>
      <c r="G326" s="77"/>
      <c r="H326" s="78"/>
      <c r="I326" s="6"/>
      <c r="J326" s="6"/>
      <c r="K326" s="79"/>
      <c r="N326" s="79"/>
      <c r="Q326" s="67"/>
    </row>
    <row r="327" spans="1:17" ht="15.6">
      <c r="A327" s="67"/>
      <c r="B327" s="68"/>
      <c r="C327" s="40"/>
      <c r="D327" s="40"/>
      <c r="E327" s="40"/>
      <c r="F327" s="77"/>
      <c r="G327" s="77"/>
      <c r="H327" s="78"/>
      <c r="I327" s="6"/>
      <c r="J327" s="6"/>
      <c r="K327" s="79"/>
      <c r="N327" s="79"/>
      <c r="Q327" s="67"/>
    </row>
    <row r="328" spans="1:17" ht="15.6">
      <c r="A328" s="67"/>
      <c r="B328" s="68"/>
      <c r="C328" s="40"/>
      <c r="D328" s="40"/>
      <c r="E328" s="40"/>
      <c r="F328" s="77"/>
      <c r="G328" s="77"/>
      <c r="H328" s="78"/>
      <c r="I328" s="6"/>
      <c r="J328" s="6"/>
      <c r="K328" s="79"/>
      <c r="N328" s="79"/>
      <c r="Q328" s="67"/>
    </row>
    <row r="329" spans="1:17" ht="15.6">
      <c r="A329" s="67"/>
      <c r="B329" s="68"/>
      <c r="C329" s="40"/>
      <c r="D329" s="40"/>
      <c r="E329" s="40"/>
      <c r="F329" s="77"/>
      <c r="G329" s="77"/>
      <c r="H329" s="78"/>
      <c r="I329" s="6"/>
      <c r="J329" s="6"/>
      <c r="K329" s="79"/>
      <c r="N329" s="79"/>
      <c r="Q329" s="67"/>
    </row>
    <row r="330" spans="1:17" ht="15.6">
      <c r="A330" s="67"/>
      <c r="B330" s="68"/>
      <c r="C330" s="40"/>
      <c r="D330" s="40"/>
      <c r="E330" s="40"/>
      <c r="F330" s="77"/>
      <c r="G330" s="77"/>
      <c r="H330" s="78"/>
      <c r="I330" s="6"/>
      <c r="J330" s="6"/>
      <c r="K330" s="79"/>
      <c r="N330" s="79"/>
      <c r="Q330" s="67"/>
    </row>
    <row r="331" spans="1:17" ht="15.6">
      <c r="A331" s="67"/>
      <c r="B331" s="68"/>
      <c r="C331" s="40"/>
      <c r="D331" s="40"/>
      <c r="E331" s="40"/>
      <c r="F331" s="77"/>
      <c r="G331" s="77"/>
      <c r="H331" s="78"/>
      <c r="I331" s="6"/>
      <c r="J331" s="6"/>
      <c r="K331" s="79"/>
      <c r="N331" s="79"/>
      <c r="Q331" s="67"/>
    </row>
    <row r="332" spans="1:17" ht="15.6">
      <c r="A332" s="67"/>
      <c r="B332" s="68"/>
      <c r="C332" s="40"/>
      <c r="D332" s="40"/>
      <c r="E332" s="40"/>
      <c r="F332" s="77"/>
      <c r="G332" s="77"/>
      <c r="H332" s="78"/>
      <c r="I332" s="6"/>
      <c r="J332" s="6"/>
      <c r="K332" s="79"/>
      <c r="N332" s="79"/>
      <c r="Q332" s="67"/>
    </row>
    <row r="333" spans="1:17" ht="15.6">
      <c r="A333" s="67"/>
      <c r="B333" s="68"/>
      <c r="C333" s="40"/>
      <c r="D333" s="40"/>
      <c r="E333" s="40"/>
      <c r="F333" s="77"/>
      <c r="G333" s="77"/>
      <c r="H333" s="78"/>
      <c r="I333" s="6"/>
      <c r="J333" s="6"/>
      <c r="K333" s="79"/>
      <c r="N333" s="79"/>
      <c r="Q333" s="67"/>
    </row>
    <row r="334" spans="1:17" ht="15.6">
      <c r="A334" s="67"/>
      <c r="B334" s="68"/>
      <c r="C334" s="40"/>
      <c r="D334" s="40"/>
      <c r="E334" s="40"/>
      <c r="F334" s="77"/>
      <c r="G334" s="77"/>
      <c r="H334" s="78"/>
      <c r="I334" s="6"/>
      <c r="J334" s="6"/>
      <c r="K334" s="79"/>
      <c r="N334" s="79"/>
      <c r="Q334" s="67"/>
    </row>
    <row r="335" spans="1:17" ht="15.6">
      <c r="A335" s="67"/>
      <c r="B335" s="68"/>
      <c r="C335" s="40"/>
      <c r="D335" s="40"/>
      <c r="E335" s="40"/>
      <c r="F335" s="77"/>
      <c r="G335" s="77"/>
      <c r="H335" s="78"/>
      <c r="I335" s="6"/>
      <c r="J335" s="6"/>
      <c r="K335" s="79"/>
      <c r="N335" s="79"/>
      <c r="Q335" s="67"/>
    </row>
    <row r="336" spans="1:17" ht="15.6">
      <c r="A336" s="67"/>
      <c r="B336" s="68"/>
      <c r="C336" s="40"/>
      <c r="D336" s="40"/>
      <c r="E336" s="40"/>
      <c r="F336" s="77"/>
      <c r="G336" s="77"/>
      <c r="H336" s="78"/>
      <c r="I336" s="6"/>
      <c r="J336" s="6"/>
      <c r="K336" s="79"/>
      <c r="N336" s="79"/>
      <c r="Q336" s="67"/>
    </row>
    <row r="337" spans="1:17" ht="15.6">
      <c r="A337" s="67"/>
      <c r="B337" s="68"/>
      <c r="C337" s="40"/>
      <c r="D337" s="40"/>
      <c r="E337" s="40"/>
      <c r="F337" s="77"/>
      <c r="G337" s="77"/>
      <c r="H337" s="78"/>
      <c r="I337" s="6"/>
      <c r="J337" s="6"/>
      <c r="K337" s="79"/>
      <c r="N337" s="79"/>
      <c r="Q337" s="67"/>
    </row>
    <row r="338" spans="1:17" ht="15.6">
      <c r="A338" s="67"/>
      <c r="B338" s="68"/>
      <c r="C338" s="40"/>
      <c r="D338" s="40"/>
      <c r="E338" s="40"/>
      <c r="F338" s="77"/>
      <c r="G338" s="77"/>
      <c r="H338" s="78"/>
      <c r="I338" s="6"/>
      <c r="J338" s="6"/>
      <c r="K338" s="79"/>
      <c r="N338" s="79"/>
      <c r="Q338" s="67"/>
    </row>
    <row r="339" spans="1:17" ht="15.6">
      <c r="A339" s="67"/>
      <c r="B339" s="68"/>
      <c r="C339" s="40"/>
      <c r="D339" s="40"/>
      <c r="E339" s="40"/>
      <c r="F339" s="77"/>
      <c r="G339" s="77"/>
      <c r="H339" s="78"/>
      <c r="I339" s="6"/>
      <c r="J339" s="6"/>
      <c r="K339" s="79"/>
      <c r="N339" s="79"/>
      <c r="Q339" s="67"/>
    </row>
    <row r="340" spans="1:17" ht="15.6">
      <c r="A340" s="67"/>
      <c r="B340" s="68"/>
      <c r="C340" s="40"/>
      <c r="D340" s="40"/>
      <c r="E340" s="40"/>
      <c r="F340" s="77"/>
      <c r="G340" s="77"/>
      <c r="H340" s="78"/>
      <c r="I340" s="6"/>
      <c r="J340" s="6"/>
      <c r="K340" s="79"/>
      <c r="N340" s="79"/>
      <c r="Q340" s="67"/>
    </row>
    <row r="341" spans="1:17" ht="15.6">
      <c r="A341" s="67"/>
      <c r="B341" s="68"/>
      <c r="C341" s="40"/>
      <c r="D341" s="40"/>
      <c r="E341" s="40"/>
      <c r="F341" s="77"/>
      <c r="G341" s="77"/>
      <c r="H341" s="78"/>
      <c r="I341" s="6"/>
      <c r="J341" s="6"/>
      <c r="K341" s="79"/>
      <c r="N341" s="79"/>
      <c r="Q341" s="67"/>
    </row>
    <row r="342" spans="1:17" ht="15.6">
      <c r="A342" s="67"/>
      <c r="B342" s="68"/>
      <c r="C342" s="40"/>
      <c r="D342" s="40"/>
      <c r="E342" s="40"/>
      <c r="F342" s="77"/>
      <c r="G342" s="77"/>
      <c r="H342" s="78"/>
      <c r="I342" s="6"/>
      <c r="J342" s="6"/>
      <c r="K342" s="79"/>
      <c r="N342" s="79"/>
      <c r="Q342" s="67"/>
    </row>
    <row r="343" spans="1:17" ht="15.6">
      <c r="A343" s="67"/>
      <c r="B343" s="68"/>
      <c r="C343" s="40"/>
      <c r="D343" s="40"/>
      <c r="E343" s="40"/>
      <c r="F343" s="77"/>
      <c r="G343" s="77"/>
      <c r="H343" s="78"/>
      <c r="I343" s="6"/>
      <c r="J343" s="6"/>
      <c r="K343" s="79"/>
      <c r="N343" s="79"/>
      <c r="Q343" s="67"/>
    </row>
    <row r="344" spans="1:17" ht="15.6">
      <c r="A344" s="67"/>
      <c r="B344" s="68"/>
      <c r="C344" s="40"/>
      <c r="D344" s="40"/>
      <c r="E344" s="40"/>
      <c r="F344" s="77"/>
      <c r="G344" s="77"/>
      <c r="H344" s="78"/>
      <c r="I344" s="6"/>
      <c r="J344" s="6"/>
      <c r="K344" s="79"/>
      <c r="N344" s="79"/>
      <c r="Q344" s="67"/>
    </row>
    <row r="345" spans="1:17" ht="15.6">
      <c r="A345" s="67"/>
      <c r="B345" s="68"/>
      <c r="C345" s="40"/>
      <c r="D345" s="40"/>
      <c r="E345" s="40"/>
      <c r="F345" s="77"/>
      <c r="G345" s="77"/>
      <c r="H345" s="78"/>
      <c r="I345" s="6"/>
      <c r="J345" s="6"/>
      <c r="K345" s="79"/>
      <c r="N345" s="79"/>
      <c r="Q345" s="67"/>
    </row>
    <row r="346" spans="1:17" ht="15.6">
      <c r="A346" s="67"/>
      <c r="B346" s="68"/>
      <c r="C346" s="40"/>
      <c r="D346" s="40"/>
      <c r="E346" s="40"/>
      <c r="F346" s="77"/>
      <c r="G346" s="77"/>
      <c r="H346" s="78"/>
      <c r="I346" s="6"/>
      <c r="J346" s="6"/>
      <c r="K346" s="79"/>
      <c r="N346" s="79"/>
      <c r="Q346" s="67"/>
    </row>
    <row r="347" spans="1:17" ht="15.6">
      <c r="A347" s="67"/>
      <c r="B347" s="68"/>
      <c r="C347" s="40"/>
      <c r="D347" s="40"/>
      <c r="E347" s="40"/>
      <c r="F347" s="77"/>
      <c r="G347" s="77"/>
      <c r="H347" s="78"/>
      <c r="I347" s="6"/>
      <c r="J347" s="6"/>
      <c r="K347" s="79"/>
      <c r="N347" s="79"/>
      <c r="Q347" s="67"/>
    </row>
    <row r="348" spans="1:17" ht="15.6">
      <c r="A348" s="67"/>
      <c r="B348" s="68"/>
      <c r="C348" s="40"/>
      <c r="D348" s="40"/>
      <c r="E348" s="40"/>
      <c r="F348" s="77"/>
      <c r="G348" s="77"/>
      <c r="H348" s="78"/>
      <c r="I348" s="6"/>
      <c r="J348" s="6"/>
      <c r="K348" s="79"/>
      <c r="N348" s="79"/>
      <c r="Q348" s="67"/>
    </row>
    <row r="349" spans="1:17" ht="15.6">
      <c r="A349" s="67"/>
      <c r="B349" s="68"/>
      <c r="C349" s="40"/>
      <c r="D349" s="40"/>
      <c r="E349" s="40"/>
      <c r="F349" s="77"/>
      <c r="G349" s="77"/>
      <c r="H349" s="78"/>
      <c r="I349" s="6"/>
      <c r="J349" s="6"/>
      <c r="K349" s="79"/>
      <c r="N349" s="79"/>
      <c r="Q349" s="67"/>
    </row>
    <row r="350" spans="1:17" ht="15.6">
      <c r="A350" s="67"/>
      <c r="B350" s="68"/>
      <c r="C350" s="40"/>
      <c r="D350" s="40"/>
      <c r="E350" s="40"/>
      <c r="F350" s="77"/>
      <c r="G350" s="77"/>
      <c r="H350" s="78"/>
      <c r="I350" s="6"/>
      <c r="J350" s="6"/>
      <c r="K350" s="79"/>
      <c r="N350" s="79"/>
      <c r="Q350" s="67"/>
    </row>
    <row r="351" spans="1:17" ht="15.6">
      <c r="A351" s="67"/>
      <c r="B351" s="68"/>
      <c r="C351" s="40"/>
      <c r="D351" s="40"/>
      <c r="E351" s="40"/>
      <c r="F351" s="77"/>
      <c r="G351" s="77"/>
      <c r="H351" s="78"/>
      <c r="I351" s="6"/>
      <c r="J351" s="6"/>
      <c r="K351" s="79"/>
      <c r="N351" s="79"/>
      <c r="Q351" s="67"/>
    </row>
    <row r="352" spans="1:17" ht="15.6">
      <c r="A352" s="67"/>
      <c r="B352" s="68"/>
      <c r="C352" s="40"/>
      <c r="D352" s="40"/>
      <c r="E352" s="40"/>
      <c r="F352" s="77"/>
      <c r="G352" s="77"/>
      <c r="H352" s="78"/>
      <c r="I352" s="6"/>
      <c r="J352" s="6"/>
      <c r="K352" s="79"/>
      <c r="N352" s="79"/>
      <c r="Q352" s="67"/>
    </row>
    <row r="353" spans="1:17" ht="15.6">
      <c r="A353" s="67"/>
      <c r="B353" s="68"/>
      <c r="C353" s="40"/>
      <c r="D353" s="40"/>
      <c r="E353" s="40"/>
      <c r="F353" s="77"/>
      <c r="G353" s="77"/>
      <c r="H353" s="78"/>
      <c r="I353" s="6"/>
      <c r="J353" s="6"/>
      <c r="K353" s="79"/>
      <c r="N353" s="79"/>
      <c r="Q353" s="67"/>
    </row>
    <row r="354" spans="1:17" ht="15.6">
      <c r="A354" s="67"/>
      <c r="B354" s="68"/>
      <c r="C354" s="40"/>
      <c r="D354" s="40"/>
      <c r="E354" s="40"/>
      <c r="F354" s="77"/>
      <c r="G354" s="77"/>
      <c r="H354" s="78"/>
      <c r="I354" s="6"/>
      <c r="J354" s="6"/>
      <c r="K354" s="79"/>
      <c r="N354" s="79"/>
      <c r="Q354" s="67"/>
    </row>
    <row r="355" spans="1:17" ht="15.6">
      <c r="A355" s="67"/>
      <c r="B355" s="68"/>
      <c r="C355" s="40"/>
      <c r="D355" s="40"/>
      <c r="E355" s="40"/>
      <c r="F355" s="77"/>
      <c r="G355" s="77"/>
      <c r="H355" s="78"/>
      <c r="I355" s="6"/>
      <c r="J355" s="6"/>
      <c r="K355" s="79"/>
      <c r="N355" s="79"/>
      <c r="Q355" s="67"/>
    </row>
    <row r="356" spans="1:17" ht="15.6">
      <c r="A356" s="67"/>
      <c r="B356" s="68"/>
      <c r="C356" s="40"/>
      <c r="D356" s="40"/>
      <c r="E356" s="40"/>
      <c r="F356" s="77"/>
      <c r="G356" s="77"/>
      <c r="H356" s="78"/>
      <c r="I356" s="6"/>
      <c r="J356" s="6"/>
      <c r="K356" s="79"/>
      <c r="N356" s="79"/>
      <c r="Q356" s="67"/>
    </row>
    <row r="357" spans="1:17" ht="15.6">
      <c r="A357" s="67"/>
      <c r="B357" s="68"/>
      <c r="C357" s="40"/>
      <c r="D357" s="40"/>
      <c r="E357" s="40"/>
      <c r="F357" s="77"/>
      <c r="G357" s="77"/>
      <c r="H357" s="78"/>
      <c r="I357" s="6"/>
      <c r="J357" s="6"/>
      <c r="K357" s="79"/>
      <c r="N357" s="79"/>
      <c r="Q357" s="67"/>
    </row>
    <row r="358" spans="1:17" ht="15.6">
      <c r="A358" s="67"/>
      <c r="B358" s="68"/>
      <c r="C358" s="40"/>
      <c r="D358" s="40"/>
      <c r="E358" s="40"/>
      <c r="F358" s="77"/>
      <c r="G358" s="77"/>
      <c r="H358" s="78"/>
      <c r="I358" s="6"/>
      <c r="J358" s="6"/>
      <c r="K358" s="79"/>
      <c r="N358" s="79"/>
      <c r="Q358" s="67"/>
    </row>
    <row r="359" spans="1:17" ht="15.6">
      <c r="A359" s="67"/>
      <c r="B359" s="68"/>
      <c r="C359" s="40"/>
      <c r="D359" s="40"/>
      <c r="E359" s="40"/>
      <c r="F359" s="77"/>
      <c r="G359" s="77"/>
      <c r="H359" s="78"/>
      <c r="I359" s="6"/>
      <c r="J359" s="6"/>
      <c r="K359" s="79"/>
      <c r="N359" s="79"/>
      <c r="Q359" s="67"/>
    </row>
    <row r="360" spans="1:17" ht="15.6">
      <c r="A360" s="67"/>
      <c r="B360" s="68"/>
      <c r="C360" s="40"/>
      <c r="D360" s="40"/>
      <c r="E360" s="40"/>
      <c r="F360" s="77"/>
      <c r="G360" s="77"/>
      <c r="H360" s="78"/>
      <c r="I360" s="6"/>
      <c r="J360" s="6"/>
      <c r="K360" s="79"/>
      <c r="N360" s="79"/>
      <c r="Q360" s="67"/>
    </row>
    <row r="361" spans="1:17" ht="15.6">
      <c r="A361" s="67"/>
      <c r="B361" s="68"/>
      <c r="C361" s="40"/>
      <c r="D361" s="40"/>
      <c r="E361" s="40"/>
      <c r="F361" s="77"/>
      <c r="G361" s="77"/>
      <c r="H361" s="78"/>
      <c r="I361" s="6"/>
      <c r="J361" s="6"/>
      <c r="K361" s="79"/>
      <c r="N361" s="79"/>
      <c r="Q361" s="67"/>
    </row>
    <row r="362" spans="1:17" ht="15.6">
      <c r="A362" s="67"/>
      <c r="B362" s="68"/>
      <c r="C362" s="40"/>
      <c r="D362" s="40"/>
      <c r="E362" s="40"/>
      <c r="F362" s="77"/>
      <c r="G362" s="77"/>
      <c r="H362" s="78"/>
      <c r="I362" s="6"/>
      <c r="J362" s="6"/>
      <c r="K362" s="79"/>
      <c r="N362" s="79"/>
      <c r="Q362" s="67"/>
    </row>
    <row r="363" spans="1:17" ht="15.6">
      <c r="A363" s="67"/>
      <c r="B363" s="68"/>
      <c r="C363" s="40"/>
      <c r="D363" s="40"/>
      <c r="E363" s="40"/>
      <c r="F363" s="77"/>
      <c r="G363" s="77"/>
      <c r="H363" s="78"/>
      <c r="I363" s="6"/>
      <c r="J363" s="6"/>
      <c r="K363" s="79"/>
      <c r="N363" s="79"/>
      <c r="Q363" s="67"/>
    </row>
    <row r="364" spans="1:17" ht="15.6">
      <c r="A364" s="67"/>
      <c r="B364" s="68"/>
      <c r="C364" s="40"/>
      <c r="D364" s="40"/>
      <c r="E364" s="40"/>
      <c r="F364" s="77"/>
      <c r="G364" s="77"/>
      <c r="H364" s="78"/>
      <c r="I364" s="6"/>
      <c r="J364" s="6"/>
      <c r="K364" s="79"/>
      <c r="N364" s="79"/>
      <c r="Q364" s="67"/>
    </row>
    <row r="365" spans="1:17" ht="15.6">
      <c r="A365" s="67"/>
      <c r="B365" s="68"/>
      <c r="C365" s="40"/>
      <c r="D365" s="40"/>
      <c r="E365" s="40"/>
      <c r="F365" s="77"/>
      <c r="G365" s="77"/>
      <c r="H365" s="78"/>
      <c r="I365" s="6"/>
      <c r="J365" s="6"/>
      <c r="K365" s="79"/>
      <c r="N365" s="79"/>
      <c r="Q365" s="67"/>
    </row>
    <row r="366" spans="1:17" ht="15.6">
      <c r="A366" s="67"/>
      <c r="B366" s="68"/>
      <c r="C366" s="40"/>
      <c r="D366" s="40"/>
      <c r="E366" s="40"/>
      <c r="F366" s="77"/>
      <c r="G366" s="77"/>
      <c r="H366" s="78"/>
      <c r="I366" s="6"/>
      <c r="J366" s="6"/>
      <c r="K366" s="79"/>
      <c r="N366" s="79"/>
      <c r="Q366" s="67"/>
    </row>
    <row r="367" spans="1:17" ht="15.6">
      <c r="A367" s="67"/>
      <c r="B367" s="68"/>
      <c r="C367" s="40"/>
      <c r="D367" s="40"/>
      <c r="E367" s="40"/>
      <c r="F367" s="77"/>
      <c r="G367" s="77"/>
      <c r="H367" s="78"/>
      <c r="I367" s="6"/>
      <c r="J367" s="6"/>
      <c r="K367" s="79"/>
      <c r="N367" s="79"/>
      <c r="Q367" s="67"/>
    </row>
    <row r="368" spans="1:17" ht="15.6">
      <c r="A368" s="67"/>
      <c r="B368" s="68"/>
      <c r="C368" s="40"/>
      <c r="D368" s="40"/>
      <c r="E368" s="40"/>
      <c r="F368" s="77"/>
      <c r="G368" s="77"/>
      <c r="H368" s="78"/>
      <c r="I368" s="6"/>
      <c r="J368" s="6"/>
      <c r="K368" s="79"/>
      <c r="N368" s="79"/>
      <c r="Q368" s="67"/>
    </row>
    <row r="369" spans="1:17" ht="15.6">
      <c r="A369" s="67"/>
      <c r="B369" s="68"/>
      <c r="C369" s="40"/>
      <c r="D369" s="40"/>
      <c r="E369" s="40"/>
      <c r="F369" s="77"/>
      <c r="G369" s="77"/>
      <c r="H369" s="78"/>
      <c r="I369" s="6"/>
      <c r="J369" s="6"/>
      <c r="K369" s="79"/>
      <c r="N369" s="79"/>
      <c r="Q369" s="67"/>
    </row>
    <row r="370" spans="1:17" ht="15.6">
      <c r="A370" s="67"/>
      <c r="B370" s="68"/>
      <c r="C370" s="40"/>
      <c r="D370" s="40"/>
      <c r="E370" s="40"/>
      <c r="F370" s="77"/>
      <c r="G370" s="77"/>
      <c r="H370" s="78"/>
      <c r="I370" s="6"/>
      <c r="J370" s="6"/>
      <c r="K370" s="79"/>
      <c r="N370" s="79"/>
      <c r="Q370" s="67"/>
    </row>
    <row r="371" spans="1:17" ht="15.6">
      <c r="A371" s="67"/>
      <c r="B371" s="68"/>
      <c r="C371" s="40"/>
      <c r="D371" s="40"/>
      <c r="E371" s="40"/>
      <c r="F371" s="77"/>
      <c r="G371" s="77"/>
      <c r="H371" s="78"/>
      <c r="I371" s="6"/>
      <c r="J371" s="6"/>
      <c r="K371" s="79"/>
      <c r="N371" s="79"/>
      <c r="Q371" s="67"/>
    </row>
    <row r="372" spans="1:17" ht="15.6">
      <c r="A372" s="67"/>
      <c r="B372" s="68"/>
      <c r="C372" s="40"/>
      <c r="D372" s="40"/>
      <c r="E372" s="40"/>
      <c r="F372" s="77"/>
      <c r="G372" s="77"/>
      <c r="H372" s="78"/>
      <c r="I372" s="6"/>
      <c r="J372" s="6"/>
      <c r="K372" s="79"/>
      <c r="N372" s="79"/>
      <c r="Q372" s="67"/>
    </row>
    <row r="373" spans="1:17" ht="15.6">
      <c r="A373" s="67"/>
      <c r="B373" s="68"/>
      <c r="C373" s="40"/>
      <c r="D373" s="40"/>
      <c r="E373" s="40"/>
      <c r="F373" s="77"/>
      <c r="G373" s="77"/>
      <c r="H373" s="78"/>
      <c r="I373" s="6"/>
      <c r="J373" s="6"/>
      <c r="K373" s="79"/>
      <c r="N373" s="79"/>
      <c r="Q373" s="67"/>
    </row>
    <row r="374" spans="1:17" ht="15.6">
      <c r="A374" s="67"/>
      <c r="B374" s="68"/>
      <c r="C374" s="40"/>
      <c r="D374" s="40"/>
      <c r="E374" s="40"/>
      <c r="F374" s="77"/>
      <c r="G374" s="77"/>
      <c r="H374" s="78"/>
      <c r="I374" s="6"/>
      <c r="J374" s="6"/>
      <c r="K374" s="79"/>
      <c r="N374" s="79"/>
      <c r="Q374" s="67"/>
    </row>
    <row r="375" spans="1:17" ht="15.6">
      <c r="A375" s="67"/>
      <c r="B375" s="68"/>
      <c r="C375" s="40"/>
      <c r="D375" s="40"/>
      <c r="E375" s="40"/>
      <c r="F375" s="77"/>
      <c r="G375" s="77"/>
      <c r="H375" s="78"/>
      <c r="I375" s="6"/>
      <c r="J375" s="6"/>
      <c r="K375" s="79"/>
      <c r="N375" s="79"/>
      <c r="Q375" s="67"/>
    </row>
    <row r="376" spans="1:17" ht="15.6">
      <c r="A376" s="67"/>
      <c r="B376" s="68"/>
      <c r="C376" s="40"/>
      <c r="D376" s="40"/>
      <c r="E376" s="40"/>
      <c r="F376" s="77"/>
      <c r="G376" s="77"/>
      <c r="H376" s="78"/>
      <c r="I376" s="6"/>
      <c r="J376" s="6"/>
      <c r="K376" s="79"/>
      <c r="N376" s="79"/>
      <c r="Q376" s="67"/>
    </row>
    <row r="377" spans="1:17" ht="15.6">
      <c r="A377" s="67"/>
      <c r="B377" s="68"/>
      <c r="C377" s="40"/>
      <c r="D377" s="40"/>
      <c r="E377" s="40"/>
      <c r="F377" s="77"/>
      <c r="G377" s="77"/>
      <c r="H377" s="78"/>
      <c r="I377" s="6"/>
      <c r="J377" s="6"/>
      <c r="K377" s="79"/>
      <c r="N377" s="79"/>
      <c r="Q377" s="67"/>
    </row>
    <row r="378" spans="1:17" ht="15.6">
      <c r="A378" s="67"/>
      <c r="B378" s="68"/>
      <c r="C378" s="40"/>
      <c r="D378" s="40"/>
      <c r="E378" s="40"/>
      <c r="F378" s="77"/>
      <c r="G378" s="77"/>
      <c r="H378" s="78"/>
      <c r="I378" s="6"/>
      <c r="J378" s="6"/>
      <c r="K378" s="79"/>
      <c r="N378" s="79"/>
      <c r="Q378" s="67"/>
    </row>
    <row r="379" spans="1:17" ht="15.6">
      <c r="A379" s="67"/>
      <c r="B379" s="68"/>
      <c r="C379" s="40"/>
      <c r="D379" s="40"/>
      <c r="E379" s="40"/>
      <c r="F379" s="77"/>
      <c r="G379" s="77"/>
      <c r="H379" s="78"/>
      <c r="I379" s="6"/>
      <c r="J379" s="6"/>
      <c r="K379" s="79"/>
      <c r="N379" s="79"/>
      <c r="Q379" s="67"/>
    </row>
    <row r="380" spans="1:17" ht="15.6">
      <c r="A380" s="67"/>
      <c r="B380" s="68"/>
      <c r="C380" s="40"/>
      <c r="D380" s="40"/>
      <c r="E380" s="40"/>
      <c r="F380" s="77"/>
      <c r="G380" s="77"/>
      <c r="H380" s="78"/>
      <c r="I380" s="6"/>
      <c r="J380" s="6"/>
      <c r="K380" s="79"/>
      <c r="N380" s="79"/>
      <c r="Q380" s="67"/>
    </row>
    <row r="381" spans="1:17" ht="15.6">
      <c r="A381" s="67"/>
      <c r="B381" s="68"/>
      <c r="C381" s="40"/>
      <c r="D381" s="40"/>
      <c r="E381" s="40"/>
      <c r="F381" s="77"/>
      <c r="G381" s="77"/>
      <c r="H381" s="78"/>
      <c r="I381" s="6"/>
      <c r="J381" s="6"/>
      <c r="K381" s="79"/>
      <c r="N381" s="79"/>
      <c r="Q381" s="67"/>
    </row>
    <row r="382" spans="1:17" ht="15.6">
      <c r="A382" s="67"/>
      <c r="B382" s="68"/>
      <c r="C382" s="40"/>
      <c r="D382" s="40"/>
      <c r="E382" s="40"/>
      <c r="F382" s="77"/>
      <c r="G382" s="77"/>
      <c r="H382" s="78"/>
      <c r="I382" s="6"/>
      <c r="J382" s="6"/>
      <c r="K382" s="79"/>
      <c r="N382" s="79"/>
      <c r="Q382" s="67"/>
    </row>
    <row r="383" spans="1:17" ht="15.6">
      <c r="A383" s="67"/>
      <c r="B383" s="68"/>
      <c r="C383" s="40"/>
      <c r="D383" s="40"/>
      <c r="E383" s="40"/>
      <c r="F383" s="77"/>
      <c r="G383" s="77"/>
      <c r="H383" s="78"/>
      <c r="I383" s="6"/>
      <c r="J383" s="6"/>
      <c r="K383" s="79"/>
      <c r="N383" s="79"/>
      <c r="Q383" s="67"/>
    </row>
    <row r="384" spans="1:17" ht="15.6">
      <c r="A384" s="67"/>
      <c r="B384" s="68"/>
      <c r="C384" s="40"/>
      <c r="D384" s="40"/>
      <c r="E384" s="40"/>
      <c r="F384" s="77"/>
      <c r="G384" s="77"/>
      <c r="H384" s="78"/>
      <c r="I384" s="6"/>
      <c r="J384" s="6"/>
      <c r="K384" s="79"/>
      <c r="N384" s="79"/>
      <c r="Q384" s="67"/>
    </row>
    <row r="385" spans="1:17" ht="15.6">
      <c r="A385" s="67"/>
      <c r="B385" s="68"/>
      <c r="C385" s="40"/>
      <c r="D385" s="40"/>
      <c r="E385" s="40"/>
      <c r="F385" s="77"/>
      <c r="G385" s="77"/>
      <c r="H385" s="78"/>
      <c r="I385" s="6"/>
      <c r="J385" s="6"/>
      <c r="K385" s="79"/>
      <c r="N385" s="79"/>
      <c r="Q385" s="67"/>
    </row>
    <row r="386" spans="1:17" ht="15.6">
      <c r="A386" s="67"/>
      <c r="B386" s="68"/>
      <c r="C386" s="40"/>
      <c r="D386" s="40"/>
      <c r="E386" s="40"/>
      <c r="F386" s="77"/>
      <c r="G386" s="77"/>
      <c r="H386" s="78"/>
      <c r="I386" s="6"/>
      <c r="J386" s="6"/>
      <c r="K386" s="79"/>
      <c r="N386" s="79"/>
      <c r="Q386" s="67"/>
    </row>
    <row r="387" spans="1:17" ht="15.6">
      <c r="A387" s="67"/>
      <c r="B387" s="68"/>
      <c r="C387" s="40"/>
      <c r="D387" s="40"/>
      <c r="E387" s="40"/>
      <c r="F387" s="77"/>
      <c r="G387" s="77"/>
      <c r="H387" s="78"/>
      <c r="I387" s="6"/>
      <c r="J387" s="6"/>
      <c r="K387" s="79"/>
      <c r="N387" s="79"/>
      <c r="Q387" s="67"/>
    </row>
    <row r="388" spans="1:17" ht="15.6">
      <c r="A388" s="67"/>
      <c r="B388" s="68"/>
      <c r="C388" s="40"/>
      <c r="D388" s="40"/>
      <c r="E388" s="40"/>
      <c r="F388" s="77"/>
      <c r="G388" s="77"/>
      <c r="H388" s="78"/>
      <c r="I388" s="6"/>
      <c r="J388" s="6"/>
      <c r="K388" s="79"/>
      <c r="N388" s="79"/>
      <c r="Q388" s="67"/>
    </row>
    <row r="389" spans="1:17" ht="15.6">
      <c r="A389" s="67"/>
      <c r="B389" s="68"/>
      <c r="C389" s="40"/>
      <c r="D389" s="40"/>
      <c r="E389" s="40"/>
      <c r="F389" s="77"/>
      <c r="G389" s="77"/>
      <c r="H389" s="78"/>
      <c r="I389" s="6"/>
      <c r="J389" s="6"/>
      <c r="K389" s="79"/>
      <c r="N389" s="79"/>
      <c r="Q389" s="67"/>
    </row>
    <row r="390" spans="1:17" ht="15.6">
      <c r="A390" s="67"/>
      <c r="B390" s="68"/>
      <c r="C390" s="40"/>
      <c r="D390" s="40"/>
      <c r="E390" s="40"/>
      <c r="F390" s="77"/>
      <c r="G390" s="77"/>
      <c r="H390" s="78"/>
      <c r="I390" s="6"/>
      <c r="J390" s="6"/>
      <c r="K390" s="79"/>
      <c r="N390" s="79"/>
      <c r="Q390" s="67"/>
    </row>
    <row r="391" spans="1:17" ht="15.6">
      <c r="A391" s="67"/>
      <c r="B391" s="68"/>
      <c r="C391" s="40"/>
      <c r="D391" s="40"/>
      <c r="E391" s="40"/>
      <c r="F391" s="77"/>
      <c r="G391" s="77"/>
      <c r="H391" s="78"/>
      <c r="I391" s="6"/>
      <c r="J391" s="6"/>
      <c r="K391" s="79"/>
      <c r="N391" s="79"/>
      <c r="Q391" s="67"/>
    </row>
    <row r="392" spans="1:17" ht="15.6">
      <c r="A392" s="67"/>
      <c r="B392" s="68"/>
      <c r="C392" s="40"/>
      <c r="D392" s="40"/>
      <c r="E392" s="40"/>
      <c r="F392" s="77"/>
      <c r="G392" s="77"/>
      <c r="H392" s="78"/>
      <c r="I392" s="6"/>
      <c r="J392" s="6"/>
      <c r="K392" s="79"/>
      <c r="N392" s="79"/>
      <c r="Q392" s="67"/>
    </row>
    <row r="393" spans="1:17" ht="15.6">
      <c r="A393" s="67"/>
      <c r="B393" s="68"/>
      <c r="C393" s="40"/>
      <c r="D393" s="40"/>
      <c r="E393" s="40"/>
      <c r="F393" s="77"/>
      <c r="G393" s="77"/>
      <c r="H393" s="78"/>
      <c r="I393" s="6"/>
      <c r="J393" s="6"/>
      <c r="K393" s="79"/>
      <c r="N393" s="79"/>
      <c r="Q393" s="67"/>
    </row>
    <row r="394" spans="1:17" ht="15.6">
      <c r="A394" s="67"/>
      <c r="B394" s="68"/>
      <c r="C394" s="40"/>
      <c r="D394" s="40"/>
      <c r="E394" s="40"/>
      <c r="F394" s="77"/>
      <c r="G394" s="77"/>
      <c r="H394" s="78"/>
      <c r="I394" s="6"/>
      <c r="J394" s="6"/>
      <c r="K394" s="79"/>
      <c r="N394" s="79"/>
      <c r="Q394" s="67"/>
    </row>
    <row r="395" spans="1:17" ht="15.6">
      <c r="A395" s="67"/>
      <c r="B395" s="68"/>
      <c r="C395" s="40"/>
      <c r="D395" s="40"/>
      <c r="E395" s="40"/>
      <c r="F395" s="77"/>
      <c r="G395" s="77"/>
      <c r="H395" s="78"/>
      <c r="I395" s="6"/>
      <c r="J395" s="6"/>
      <c r="K395" s="79"/>
      <c r="N395" s="79"/>
      <c r="Q395" s="67"/>
    </row>
    <row r="396" spans="1:17" ht="15.6">
      <c r="A396" s="67"/>
      <c r="B396" s="68"/>
      <c r="C396" s="40"/>
      <c r="D396" s="40"/>
      <c r="E396" s="40"/>
      <c r="F396" s="77"/>
      <c r="G396" s="77"/>
      <c r="H396" s="78"/>
      <c r="I396" s="6"/>
      <c r="J396" s="6"/>
      <c r="K396" s="79"/>
      <c r="N396" s="79"/>
      <c r="Q396" s="67"/>
    </row>
    <row r="397" spans="1:17" ht="15.6">
      <c r="A397" s="67"/>
      <c r="B397" s="68"/>
      <c r="C397" s="40"/>
      <c r="D397" s="40"/>
      <c r="E397" s="40"/>
      <c r="F397" s="77"/>
      <c r="G397" s="77"/>
      <c r="H397" s="78"/>
      <c r="I397" s="6"/>
      <c r="J397" s="6"/>
      <c r="K397" s="79"/>
      <c r="N397" s="79"/>
      <c r="Q397" s="67"/>
    </row>
    <row r="398" spans="1:17" ht="15.6">
      <c r="A398" s="67"/>
      <c r="B398" s="68"/>
      <c r="C398" s="40"/>
      <c r="D398" s="40"/>
      <c r="E398" s="40"/>
      <c r="F398" s="77"/>
      <c r="G398" s="77"/>
      <c r="H398" s="78"/>
      <c r="I398" s="6"/>
      <c r="J398" s="6"/>
      <c r="K398" s="79"/>
      <c r="N398" s="79"/>
      <c r="Q398" s="67"/>
    </row>
    <row r="399" spans="1:17" ht="15.6">
      <c r="A399" s="67"/>
      <c r="B399" s="68"/>
      <c r="C399" s="40"/>
      <c r="D399" s="40"/>
      <c r="E399" s="40"/>
      <c r="F399" s="77"/>
      <c r="G399" s="77"/>
      <c r="H399" s="78"/>
      <c r="I399" s="6"/>
      <c r="J399" s="6"/>
      <c r="K399" s="79"/>
      <c r="N399" s="79"/>
      <c r="Q399" s="67"/>
    </row>
    <row r="400" spans="1:17" ht="15.6">
      <c r="A400" s="67"/>
      <c r="B400" s="68"/>
      <c r="C400" s="40"/>
      <c r="D400" s="40"/>
      <c r="E400" s="40"/>
      <c r="F400" s="77"/>
      <c r="G400" s="77"/>
      <c r="H400" s="78"/>
      <c r="I400" s="6"/>
      <c r="J400" s="6"/>
      <c r="K400" s="79"/>
      <c r="N400" s="79"/>
      <c r="Q400" s="67"/>
    </row>
    <row r="401" spans="1:17" ht="15.6">
      <c r="A401" s="67"/>
      <c r="B401" s="68"/>
      <c r="C401" s="40"/>
      <c r="D401" s="40"/>
      <c r="E401" s="40"/>
      <c r="F401" s="77"/>
      <c r="G401" s="77"/>
      <c r="H401" s="78"/>
      <c r="I401" s="6"/>
      <c r="J401" s="6"/>
      <c r="K401" s="79"/>
      <c r="N401" s="79"/>
      <c r="Q401" s="67"/>
    </row>
    <row r="402" spans="1:17" ht="15.6">
      <c r="A402" s="67"/>
      <c r="B402" s="68"/>
      <c r="C402" s="40"/>
      <c r="D402" s="40"/>
      <c r="E402" s="40"/>
      <c r="F402" s="77"/>
      <c r="G402" s="77"/>
      <c r="H402" s="78"/>
      <c r="I402" s="6"/>
      <c r="J402" s="6"/>
      <c r="K402" s="79"/>
      <c r="N402" s="79"/>
      <c r="Q402" s="67"/>
    </row>
    <row r="403" spans="1:17" ht="15.6">
      <c r="A403" s="67"/>
      <c r="B403" s="68"/>
      <c r="C403" s="40"/>
      <c r="D403" s="40"/>
      <c r="E403" s="40"/>
      <c r="F403" s="77"/>
      <c r="G403" s="77"/>
      <c r="H403" s="78"/>
      <c r="I403" s="6"/>
      <c r="J403" s="6"/>
      <c r="K403" s="79"/>
      <c r="N403" s="79"/>
      <c r="Q403" s="67"/>
    </row>
    <row r="404" spans="1:17" ht="15.6">
      <c r="A404" s="67"/>
      <c r="B404" s="68"/>
      <c r="C404" s="40"/>
      <c r="D404" s="40"/>
      <c r="E404" s="40"/>
      <c r="F404" s="77"/>
      <c r="G404" s="77"/>
      <c r="H404" s="78"/>
      <c r="I404" s="6"/>
      <c r="J404" s="6"/>
      <c r="K404" s="79"/>
      <c r="N404" s="79"/>
      <c r="Q404" s="67"/>
    </row>
    <row r="405" spans="1:17" ht="15.6">
      <c r="A405" s="67"/>
      <c r="B405" s="68"/>
      <c r="C405" s="40"/>
      <c r="D405" s="40"/>
      <c r="E405" s="40"/>
      <c r="F405" s="77"/>
      <c r="G405" s="77"/>
      <c r="H405" s="78"/>
      <c r="I405" s="6"/>
      <c r="J405" s="6"/>
      <c r="K405" s="79"/>
      <c r="N405" s="79"/>
      <c r="Q405" s="67"/>
    </row>
    <row r="406" spans="1:17" ht="15.6">
      <c r="A406" s="67"/>
      <c r="B406" s="68"/>
      <c r="C406" s="40"/>
      <c r="D406" s="40"/>
      <c r="E406" s="40"/>
      <c r="F406" s="77"/>
      <c r="G406" s="77"/>
      <c r="H406" s="78"/>
      <c r="I406" s="6"/>
      <c r="J406" s="6"/>
      <c r="K406" s="79"/>
      <c r="N406" s="79"/>
      <c r="Q406" s="67"/>
    </row>
    <row r="407" spans="1:17" ht="15.6">
      <c r="A407" s="67"/>
      <c r="B407" s="68"/>
      <c r="C407" s="40"/>
      <c r="D407" s="40"/>
      <c r="E407" s="40"/>
      <c r="F407" s="77"/>
      <c r="G407" s="77"/>
      <c r="H407" s="78"/>
      <c r="I407" s="6"/>
      <c r="J407" s="6"/>
      <c r="K407" s="79"/>
      <c r="N407" s="79"/>
      <c r="Q407" s="67"/>
    </row>
    <row r="408" spans="1:17" ht="15.6">
      <c r="A408" s="67"/>
      <c r="B408" s="68"/>
      <c r="C408" s="40"/>
      <c r="D408" s="40"/>
      <c r="E408" s="40"/>
      <c r="F408" s="77"/>
      <c r="G408" s="77"/>
      <c r="H408" s="78"/>
      <c r="I408" s="6"/>
      <c r="J408" s="6"/>
      <c r="K408" s="79"/>
      <c r="N408" s="79"/>
      <c r="Q408" s="67"/>
    </row>
    <row r="409" spans="1:17" ht="15.6">
      <c r="A409" s="67"/>
      <c r="B409" s="68"/>
      <c r="C409" s="40"/>
      <c r="D409" s="40"/>
      <c r="E409" s="40"/>
      <c r="F409" s="77"/>
      <c r="G409" s="77"/>
      <c r="H409" s="78"/>
      <c r="I409" s="6"/>
      <c r="J409" s="6"/>
      <c r="K409" s="79"/>
      <c r="N409" s="79"/>
      <c r="Q409" s="67"/>
    </row>
    <row r="410" spans="1:17" ht="15.6">
      <c r="A410" s="67"/>
      <c r="B410" s="68"/>
      <c r="C410" s="40"/>
      <c r="D410" s="40"/>
      <c r="E410" s="40"/>
      <c r="F410" s="77"/>
      <c r="G410" s="77"/>
      <c r="H410" s="78"/>
      <c r="I410" s="6"/>
      <c r="J410" s="6"/>
      <c r="K410" s="79"/>
      <c r="N410" s="79"/>
      <c r="Q410" s="67"/>
    </row>
    <row r="411" spans="1:17" ht="15.6">
      <c r="A411" s="67"/>
      <c r="B411" s="68"/>
      <c r="C411" s="40"/>
      <c r="D411" s="40"/>
      <c r="E411" s="40"/>
      <c r="F411" s="77"/>
      <c r="G411" s="77"/>
      <c r="H411" s="78"/>
      <c r="I411" s="6"/>
      <c r="J411" s="6"/>
      <c r="K411" s="79"/>
      <c r="N411" s="79"/>
      <c r="Q411" s="67"/>
    </row>
    <row r="412" spans="1:17" ht="15.6">
      <c r="A412" s="67"/>
      <c r="B412" s="68"/>
      <c r="C412" s="40"/>
      <c r="D412" s="40"/>
      <c r="E412" s="40"/>
      <c r="F412" s="77"/>
      <c r="G412" s="77"/>
      <c r="H412" s="78"/>
      <c r="I412" s="6"/>
      <c r="J412" s="6"/>
      <c r="K412" s="79"/>
      <c r="N412" s="79"/>
      <c r="Q412" s="67"/>
    </row>
    <row r="413" spans="1:17" ht="15.6">
      <c r="A413" s="67"/>
      <c r="B413" s="68"/>
      <c r="C413" s="40"/>
      <c r="D413" s="40"/>
      <c r="E413" s="40"/>
      <c r="F413" s="77"/>
      <c r="G413" s="77"/>
      <c r="H413" s="78"/>
      <c r="I413" s="6"/>
      <c r="J413" s="6"/>
      <c r="K413" s="79"/>
      <c r="N413" s="79"/>
      <c r="Q413" s="67"/>
    </row>
    <row r="414" spans="1:17" ht="15.6">
      <c r="A414" s="67"/>
      <c r="B414" s="68"/>
      <c r="C414" s="40"/>
      <c r="D414" s="40"/>
      <c r="E414" s="40"/>
      <c r="F414" s="77"/>
      <c r="G414" s="77"/>
      <c r="H414" s="78"/>
      <c r="I414" s="6"/>
      <c r="J414" s="6"/>
      <c r="K414" s="79"/>
      <c r="N414" s="79"/>
      <c r="Q414" s="67"/>
    </row>
    <row r="415" spans="1:17" ht="15.6">
      <c r="A415" s="67"/>
      <c r="B415" s="68"/>
      <c r="C415" s="40"/>
      <c r="D415" s="40"/>
      <c r="E415" s="40"/>
      <c r="F415" s="77"/>
      <c r="G415" s="77"/>
      <c r="H415" s="78"/>
      <c r="I415" s="6"/>
      <c r="J415" s="6"/>
      <c r="K415" s="79"/>
      <c r="N415" s="79"/>
      <c r="Q415" s="67"/>
    </row>
    <row r="416" spans="1:17" ht="15.6">
      <c r="A416" s="67"/>
      <c r="B416" s="68"/>
      <c r="C416" s="40"/>
      <c r="D416" s="40"/>
      <c r="E416" s="40"/>
      <c r="F416" s="77"/>
      <c r="G416" s="77"/>
      <c r="H416" s="78"/>
      <c r="I416" s="6"/>
      <c r="J416" s="6"/>
      <c r="K416" s="79"/>
      <c r="N416" s="79"/>
      <c r="Q416" s="67"/>
    </row>
    <row r="417" spans="1:17" ht="15.6">
      <c r="A417" s="67"/>
      <c r="B417" s="68"/>
      <c r="C417" s="40"/>
      <c r="D417" s="40"/>
      <c r="E417" s="40"/>
      <c r="F417" s="77"/>
      <c r="G417" s="77"/>
      <c r="H417" s="78"/>
      <c r="I417" s="6"/>
      <c r="J417" s="6"/>
      <c r="K417" s="79"/>
      <c r="N417" s="79"/>
      <c r="Q417" s="67"/>
    </row>
    <row r="418" spans="1:17" ht="15.6">
      <c r="A418" s="67"/>
      <c r="B418" s="68"/>
      <c r="C418" s="40"/>
      <c r="D418" s="40"/>
      <c r="E418" s="40"/>
      <c r="F418" s="77"/>
      <c r="G418" s="77"/>
      <c r="H418" s="78"/>
      <c r="I418" s="6"/>
      <c r="J418" s="6"/>
      <c r="K418" s="79"/>
      <c r="N418" s="79"/>
      <c r="Q418" s="67"/>
    </row>
    <row r="419" spans="1:17" ht="15.6">
      <c r="A419" s="67"/>
      <c r="B419" s="68"/>
      <c r="C419" s="40"/>
      <c r="D419" s="40"/>
      <c r="E419" s="40"/>
      <c r="F419" s="77"/>
      <c r="G419" s="77"/>
      <c r="H419" s="78"/>
      <c r="I419" s="6"/>
      <c r="J419" s="6"/>
      <c r="K419" s="79"/>
      <c r="N419" s="79"/>
      <c r="Q419" s="67"/>
    </row>
    <row r="420" spans="1:17" ht="15.6">
      <c r="A420" s="67"/>
      <c r="B420" s="68"/>
      <c r="C420" s="40"/>
      <c r="D420" s="40"/>
      <c r="E420" s="40"/>
      <c r="F420" s="77"/>
      <c r="G420" s="77"/>
      <c r="H420" s="78"/>
      <c r="I420" s="6"/>
      <c r="J420" s="6"/>
      <c r="K420" s="79"/>
      <c r="N420" s="79"/>
      <c r="Q420" s="67"/>
    </row>
    <row r="421" spans="1:17" ht="15.6">
      <c r="A421" s="67"/>
      <c r="B421" s="68"/>
      <c r="C421" s="40"/>
      <c r="D421" s="40"/>
      <c r="E421" s="40"/>
      <c r="F421" s="77"/>
      <c r="G421" s="77"/>
      <c r="H421" s="78"/>
      <c r="I421" s="6"/>
      <c r="J421" s="6"/>
      <c r="K421" s="79"/>
      <c r="N421" s="79"/>
      <c r="Q421" s="67"/>
    </row>
    <row r="422" spans="1:17" ht="15.6">
      <c r="A422" s="67"/>
      <c r="B422" s="68"/>
      <c r="C422" s="40"/>
      <c r="D422" s="40"/>
      <c r="E422" s="40"/>
      <c r="F422" s="77"/>
      <c r="G422" s="77"/>
      <c r="H422" s="78"/>
      <c r="I422" s="6"/>
      <c r="J422" s="6"/>
      <c r="K422" s="79"/>
      <c r="N422" s="79"/>
      <c r="Q422" s="67"/>
    </row>
    <row r="423" spans="1:17" ht="15.6">
      <c r="A423" s="67"/>
      <c r="B423" s="68"/>
      <c r="C423" s="40"/>
      <c r="D423" s="40"/>
      <c r="E423" s="40"/>
      <c r="F423" s="77"/>
      <c r="G423" s="77"/>
      <c r="H423" s="78"/>
      <c r="I423" s="6"/>
      <c r="J423" s="6"/>
      <c r="K423" s="79"/>
      <c r="N423" s="79"/>
      <c r="Q423" s="67"/>
    </row>
    <row r="424" spans="1:17" ht="15.6">
      <c r="A424" s="67"/>
      <c r="B424" s="68"/>
      <c r="C424" s="40"/>
      <c r="D424" s="40"/>
      <c r="E424" s="40"/>
      <c r="F424" s="77"/>
      <c r="G424" s="77"/>
      <c r="H424" s="78"/>
      <c r="I424" s="6"/>
      <c r="J424" s="6"/>
      <c r="K424" s="79"/>
      <c r="N424" s="79"/>
      <c r="Q424" s="67"/>
    </row>
    <row r="425" spans="1:17" ht="15.6">
      <c r="A425" s="67"/>
      <c r="B425" s="68"/>
      <c r="C425" s="40"/>
      <c r="D425" s="40"/>
      <c r="E425" s="40"/>
      <c r="F425" s="77"/>
      <c r="G425" s="77"/>
      <c r="H425" s="78"/>
      <c r="I425" s="6"/>
      <c r="J425" s="6"/>
      <c r="K425" s="79"/>
      <c r="N425" s="79"/>
      <c r="Q425" s="67"/>
    </row>
    <row r="426" spans="1:17" ht="15.6">
      <c r="A426" s="67"/>
      <c r="B426" s="68"/>
      <c r="C426" s="40"/>
      <c r="D426" s="40"/>
      <c r="E426" s="40"/>
      <c r="F426" s="77"/>
      <c r="G426" s="77"/>
      <c r="H426" s="78"/>
      <c r="I426" s="6"/>
      <c r="J426" s="6"/>
      <c r="K426" s="79"/>
      <c r="N426" s="79"/>
      <c r="Q426" s="67"/>
    </row>
    <row r="427" spans="1:17" ht="15.6">
      <c r="A427" s="67"/>
      <c r="B427" s="68"/>
      <c r="C427" s="40"/>
      <c r="D427" s="40"/>
      <c r="E427" s="40"/>
      <c r="F427" s="77"/>
      <c r="G427" s="77"/>
      <c r="H427" s="78"/>
      <c r="I427" s="6"/>
      <c r="J427" s="6"/>
      <c r="K427" s="79"/>
      <c r="N427" s="79"/>
      <c r="Q427" s="67"/>
    </row>
    <row r="428" spans="1:17" ht="15.6">
      <c r="A428" s="67"/>
      <c r="B428" s="68"/>
      <c r="C428" s="40"/>
      <c r="D428" s="40"/>
      <c r="E428" s="40"/>
      <c r="F428" s="77"/>
      <c r="G428" s="77"/>
      <c r="H428" s="78"/>
      <c r="I428" s="6"/>
      <c r="J428" s="6"/>
      <c r="K428" s="79"/>
      <c r="N428" s="79"/>
      <c r="Q428" s="67"/>
    </row>
    <row r="429" spans="1:17" ht="15.6">
      <c r="A429" s="67"/>
      <c r="B429" s="68"/>
      <c r="C429" s="40"/>
      <c r="D429" s="40"/>
      <c r="E429" s="40"/>
      <c r="F429" s="77"/>
      <c r="G429" s="77"/>
      <c r="H429" s="78"/>
      <c r="I429" s="6"/>
      <c r="J429" s="6"/>
      <c r="K429" s="79"/>
      <c r="N429" s="79"/>
      <c r="Q429" s="67"/>
    </row>
    <row r="430" spans="1:17" ht="15.6">
      <c r="A430" s="67"/>
      <c r="B430" s="68"/>
      <c r="C430" s="40"/>
      <c r="D430" s="40"/>
      <c r="E430" s="40"/>
      <c r="F430" s="77"/>
      <c r="G430" s="77"/>
      <c r="H430" s="78"/>
      <c r="I430" s="6"/>
      <c r="J430" s="6"/>
      <c r="K430" s="79"/>
      <c r="N430" s="79"/>
      <c r="Q430" s="67"/>
    </row>
    <row r="431" spans="1:17" ht="15.6">
      <c r="A431" s="67"/>
      <c r="B431" s="68"/>
      <c r="C431" s="40"/>
      <c r="D431" s="40"/>
      <c r="E431" s="40"/>
      <c r="F431" s="77"/>
      <c r="G431" s="77"/>
      <c r="H431" s="78"/>
      <c r="I431" s="6"/>
      <c r="J431" s="6"/>
      <c r="K431" s="79"/>
      <c r="N431" s="79"/>
      <c r="Q431" s="67"/>
    </row>
    <row r="432" spans="1:17" ht="15.6">
      <c r="A432" s="67"/>
      <c r="B432" s="68"/>
      <c r="C432" s="40"/>
      <c r="D432" s="40"/>
      <c r="E432" s="40"/>
      <c r="F432" s="77"/>
      <c r="G432" s="77"/>
      <c r="H432" s="78"/>
      <c r="I432" s="6"/>
      <c r="J432" s="6"/>
      <c r="K432" s="79"/>
      <c r="N432" s="79"/>
      <c r="Q432" s="67"/>
    </row>
    <row r="433" spans="1:17" ht="15.6">
      <c r="A433" s="67"/>
      <c r="B433" s="68"/>
      <c r="C433" s="40"/>
      <c r="D433" s="40"/>
      <c r="E433" s="40"/>
      <c r="F433" s="77"/>
      <c r="G433" s="77"/>
      <c r="H433" s="78"/>
      <c r="I433" s="6"/>
      <c r="J433" s="6"/>
      <c r="K433" s="79"/>
      <c r="N433" s="79"/>
      <c r="Q433" s="67"/>
    </row>
    <row r="434" spans="1:17" ht="15.6">
      <c r="A434" s="67"/>
      <c r="B434" s="68"/>
      <c r="C434" s="40"/>
      <c r="D434" s="40"/>
      <c r="E434" s="40"/>
      <c r="F434" s="77"/>
      <c r="G434" s="77"/>
      <c r="H434" s="78"/>
      <c r="I434" s="6"/>
      <c r="J434" s="6"/>
      <c r="K434" s="79"/>
      <c r="N434" s="79"/>
      <c r="Q434" s="67"/>
    </row>
    <row r="435" spans="1:17" ht="15.6">
      <c r="A435" s="67"/>
      <c r="B435" s="68"/>
      <c r="C435" s="40"/>
      <c r="D435" s="40"/>
      <c r="E435" s="40"/>
      <c r="F435" s="77"/>
      <c r="G435" s="77"/>
      <c r="H435" s="78"/>
      <c r="I435" s="6"/>
      <c r="J435" s="6"/>
      <c r="K435" s="79"/>
      <c r="N435" s="79"/>
      <c r="Q435" s="67"/>
    </row>
    <row r="436" spans="1:17" ht="15.6">
      <c r="A436" s="67"/>
      <c r="B436" s="68"/>
      <c r="C436" s="40"/>
      <c r="D436" s="40"/>
      <c r="E436" s="40"/>
      <c r="F436" s="77"/>
      <c r="G436" s="77"/>
      <c r="H436" s="78"/>
      <c r="I436" s="6"/>
      <c r="J436" s="6"/>
      <c r="K436" s="79"/>
      <c r="N436" s="79"/>
      <c r="Q436" s="67"/>
    </row>
    <row r="437" spans="1:17" ht="15.6">
      <c r="A437" s="67"/>
      <c r="B437" s="68"/>
      <c r="C437" s="40"/>
      <c r="D437" s="40"/>
      <c r="E437" s="40"/>
      <c r="F437" s="77"/>
      <c r="G437" s="77"/>
      <c r="H437" s="78"/>
      <c r="I437" s="6"/>
      <c r="J437" s="6"/>
      <c r="K437" s="79"/>
      <c r="N437" s="79"/>
      <c r="Q437" s="67"/>
    </row>
    <row r="438" spans="1:17" ht="15.6">
      <c r="A438" s="67"/>
      <c r="B438" s="68"/>
      <c r="C438" s="40"/>
      <c r="D438" s="40"/>
      <c r="E438" s="40"/>
      <c r="F438" s="77"/>
      <c r="G438" s="77"/>
      <c r="H438" s="78"/>
      <c r="I438" s="6"/>
      <c r="J438" s="6"/>
      <c r="K438" s="79"/>
      <c r="N438" s="79"/>
      <c r="Q438" s="67"/>
    </row>
    <row r="439" spans="1:17" ht="15.6">
      <c r="A439" s="67"/>
      <c r="B439" s="68"/>
      <c r="C439" s="40"/>
      <c r="D439" s="40"/>
      <c r="E439" s="40"/>
      <c r="F439" s="77"/>
      <c r="G439" s="77"/>
      <c r="H439" s="78"/>
      <c r="I439" s="6"/>
      <c r="J439" s="6"/>
      <c r="K439" s="79"/>
      <c r="N439" s="79"/>
      <c r="Q439" s="67"/>
    </row>
    <row r="440" spans="1:17" ht="15.6">
      <c r="A440" s="67"/>
      <c r="B440" s="68"/>
      <c r="C440" s="40"/>
      <c r="D440" s="40"/>
      <c r="E440" s="40"/>
      <c r="F440" s="77"/>
      <c r="G440" s="77"/>
      <c r="H440" s="78"/>
      <c r="I440" s="6"/>
      <c r="J440" s="6"/>
      <c r="K440" s="79"/>
      <c r="N440" s="79"/>
      <c r="Q440" s="67"/>
    </row>
    <row r="441" spans="1:17" ht="15.6">
      <c r="A441" s="67"/>
      <c r="B441" s="68"/>
      <c r="C441" s="40"/>
      <c r="D441" s="40"/>
      <c r="E441" s="40"/>
      <c r="F441" s="77"/>
      <c r="G441" s="77"/>
      <c r="H441" s="78"/>
      <c r="I441" s="6"/>
      <c r="J441" s="6"/>
      <c r="K441" s="79"/>
      <c r="N441" s="79"/>
      <c r="Q441" s="67"/>
    </row>
    <row r="442" spans="1:17" ht="15.6">
      <c r="A442" s="67"/>
      <c r="B442" s="68"/>
      <c r="C442" s="40"/>
      <c r="D442" s="40"/>
      <c r="E442" s="40"/>
      <c r="F442" s="77"/>
      <c r="G442" s="77"/>
      <c r="H442" s="78"/>
      <c r="I442" s="6"/>
      <c r="J442" s="6"/>
      <c r="K442" s="79"/>
      <c r="N442" s="79"/>
      <c r="Q442" s="67"/>
    </row>
    <row r="443" spans="1:17" ht="15.6">
      <c r="A443" s="67"/>
      <c r="B443" s="68"/>
      <c r="C443" s="40"/>
      <c r="D443" s="40"/>
      <c r="E443" s="40"/>
      <c r="F443" s="77"/>
      <c r="G443" s="77"/>
      <c r="H443" s="78"/>
      <c r="I443" s="6"/>
      <c r="J443" s="6"/>
      <c r="K443" s="79"/>
      <c r="N443" s="79"/>
      <c r="Q443" s="67"/>
    </row>
    <row r="444" spans="1:17" ht="15.6">
      <c r="A444" s="67"/>
      <c r="B444" s="68"/>
      <c r="C444" s="40"/>
      <c r="D444" s="40"/>
      <c r="E444" s="40"/>
      <c r="F444" s="77"/>
      <c r="G444" s="77"/>
      <c r="H444" s="78"/>
      <c r="I444" s="6"/>
      <c r="J444" s="6"/>
      <c r="K444" s="79"/>
      <c r="N444" s="79"/>
      <c r="Q444" s="67"/>
    </row>
    <row r="445" spans="1:17" ht="15.6">
      <c r="A445" s="67"/>
      <c r="B445" s="68"/>
      <c r="C445" s="40"/>
      <c r="D445" s="40"/>
      <c r="E445" s="40"/>
      <c r="F445" s="77"/>
      <c r="G445" s="77"/>
      <c r="H445" s="78"/>
      <c r="I445" s="6"/>
      <c r="J445" s="6"/>
      <c r="K445" s="79"/>
      <c r="N445" s="79"/>
      <c r="Q445" s="67"/>
    </row>
    <row r="446" spans="1:17" ht="15.6">
      <c r="A446" s="67"/>
      <c r="B446" s="68"/>
      <c r="C446" s="40"/>
      <c r="D446" s="40"/>
      <c r="E446" s="40"/>
      <c r="F446" s="77"/>
      <c r="G446" s="77"/>
      <c r="H446" s="78"/>
      <c r="I446" s="6"/>
      <c r="J446" s="6"/>
      <c r="K446" s="79"/>
      <c r="N446" s="79"/>
      <c r="Q446" s="67"/>
    </row>
    <row r="447" spans="1:17" ht="15.6">
      <c r="A447" s="67"/>
      <c r="B447" s="68"/>
      <c r="C447" s="40"/>
      <c r="D447" s="40"/>
      <c r="E447" s="40"/>
      <c r="F447" s="77"/>
      <c r="G447" s="77"/>
      <c r="H447" s="78"/>
      <c r="I447" s="6"/>
      <c r="J447" s="6"/>
      <c r="K447" s="79"/>
      <c r="N447" s="79"/>
      <c r="Q447" s="67"/>
    </row>
    <row r="448" spans="1:17" ht="15.6">
      <c r="A448" s="67"/>
      <c r="B448" s="68"/>
      <c r="C448" s="40"/>
      <c r="D448" s="40"/>
      <c r="E448" s="40"/>
      <c r="F448" s="77"/>
      <c r="G448" s="77"/>
      <c r="H448" s="78"/>
      <c r="I448" s="6"/>
      <c r="J448" s="6"/>
      <c r="K448" s="79"/>
      <c r="N448" s="79"/>
      <c r="Q448" s="67"/>
    </row>
    <row r="449" spans="1:17" ht="15.6">
      <c r="A449" s="67"/>
      <c r="B449" s="68"/>
      <c r="C449" s="40"/>
      <c r="D449" s="40"/>
      <c r="E449" s="40"/>
      <c r="F449" s="77"/>
      <c r="G449" s="77"/>
      <c r="H449" s="78"/>
      <c r="I449" s="6"/>
      <c r="J449" s="6"/>
      <c r="K449" s="79"/>
      <c r="N449" s="79"/>
      <c r="Q449" s="67"/>
    </row>
    <row r="450" spans="1:17" ht="15.6">
      <c r="A450" s="67"/>
      <c r="B450" s="68"/>
      <c r="C450" s="40"/>
      <c r="D450" s="40"/>
      <c r="E450" s="40"/>
      <c r="F450" s="77"/>
      <c r="G450" s="77"/>
      <c r="H450" s="78"/>
      <c r="I450" s="6"/>
      <c r="J450" s="6"/>
      <c r="K450" s="79"/>
      <c r="N450" s="79"/>
      <c r="Q450" s="67"/>
    </row>
    <row r="451" spans="1:17" ht="15.6">
      <c r="A451" s="67"/>
      <c r="B451" s="68"/>
      <c r="C451" s="40"/>
      <c r="D451" s="40"/>
      <c r="E451" s="40"/>
      <c r="F451" s="77"/>
      <c r="G451" s="77"/>
      <c r="H451" s="78"/>
      <c r="I451" s="6"/>
      <c r="J451" s="6"/>
      <c r="K451" s="79"/>
      <c r="N451" s="79"/>
      <c r="Q451" s="67"/>
    </row>
    <row r="452" spans="1:17" ht="15.6">
      <c r="A452" s="67"/>
      <c r="B452" s="68"/>
      <c r="C452" s="40"/>
      <c r="D452" s="40"/>
      <c r="E452" s="40"/>
      <c r="F452" s="77"/>
      <c r="G452" s="77"/>
      <c r="H452" s="78"/>
      <c r="I452" s="6"/>
      <c r="J452" s="6"/>
      <c r="K452" s="79"/>
      <c r="N452" s="79"/>
      <c r="Q452" s="67"/>
    </row>
    <row r="453" spans="1:17" ht="15.6">
      <c r="A453" s="67"/>
      <c r="B453" s="68"/>
      <c r="C453" s="40"/>
      <c r="D453" s="40"/>
      <c r="E453" s="40"/>
      <c r="F453" s="77"/>
      <c r="G453" s="77"/>
      <c r="H453" s="78"/>
      <c r="I453" s="6"/>
      <c r="J453" s="6"/>
      <c r="K453" s="79"/>
      <c r="N453" s="79"/>
      <c r="Q453" s="67"/>
    </row>
    <row r="454" spans="1:17" ht="15.6">
      <c r="A454" s="67"/>
      <c r="B454" s="68"/>
      <c r="C454" s="40"/>
      <c r="D454" s="40"/>
      <c r="E454" s="40"/>
      <c r="F454" s="77"/>
      <c r="G454" s="77"/>
      <c r="H454" s="78"/>
      <c r="I454" s="6"/>
      <c r="J454" s="6"/>
      <c r="K454" s="79"/>
      <c r="N454" s="79"/>
      <c r="Q454" s="67"/>
    </row>
    <row r="455" spans="1:17" ht="15.6">
      <c r="A455" s="67"/>
      <c r="B455" s="68"/>
      <c r="C455" s="40"/>
      <c r="D455" s="40"/>
      <c r="E455" s="40"/>
      <c r="F455" s="77"/>
      <c r="G455" s="77"/>
      <c r="H455" s="78"/>
      <c r="I455" s="6"/>
      <c r="J455" s="6"/>
      <c r="K455" s="79"/>
      <c r="N455" s="79"/>
      <c r="Q455" s="67"/>
    </row>
    <row r="456" spans="1:17" ht="15.6">
      <c r="A456" s="67"/>
      <c r="B456" s="68"/>
      <c r="C456" s="40"/>
      <c r="D456" s="40"/>
      <c r="E456" s="40"/>
      <c r="F456" s="77"/>
      <c r="G456" s="77"/>
      <c r="H456" s="78"/>
      <c r="I456" s="6"/>
      <c r="J456" s="6"/>
      <c r="K456" s="79"/>
      <c r="N456" s="79"/>
      <c r="Q456" s="67"/>
    </row>
    <row r="457" spans="1:17" ht="15.6">
      <c r="A457" s="67"/>
      <c r="B457" s="68"/>
      <c r="C457" s="40"/>
      <c r="D457" s="40"/>
      <c r="E457" s="40"/>
      <c r="F457" s="77"/>
      <c r="G457" s="77"/>
      <c r="H457" s="78"/>
      <c r="I457" s="6"/>
      <c r="J457" s="6"/>
      <c r="K457" s="79"/>
      <c r="N457" s="79"/>
      <c r="Q457" s="67"/>
    </row>
    <row r="458" spans="1:17" ht="15.6">
      <c r="A458" s="67"/>
      <c r="B458" s="68"/>
      <c r="C458" s="40"/>
      <c r="D458" s="40"/>
      <c r="E458" s="40"/>
      <c r="F458" s="77"/>
      <c r="G458" s="77"/>
      <c r="H458" s="78"/>
      <c r="I458" s="6"/>
      <c r="J458" s="6"/>
      <c r="K458" s="79"/>
      <c r="N458" s="79"/>
      <c r="Q458" s="67"/>
    </row>
    <row r="459" spans="1:17" ht="15.6">
      <c r="A459" s="67"/>
      <c r="B459" s="68"/>
      <c r="C459" s="40"/>
      <c r="D459" s="40"/>
      <c r="E459" s="40"/>
      <c r="F459" s="77"/>
      <c r="G459" s="77"/>
      <c r="H459" s="78"/>
      <c r="I459" s="6"/>
      <c r="J459" s="6"/>
      <c r="K459" s="79"/>
      <c r="N459" s="79"/>
      <c r="Q459" s="67"/>
    </row>
    <row r="460" spans="1:17" ht="15.6">
      <c r="A460" s="67"/>
      <c r="B460" s="68"/>
      <c r="C460" s="40"/>
      <c r="D460" s="40"/>
      <c r="E460" s="40"/>
      <c r="F460" s="77"/>
      <c r="G460" s="77"/>
      <c r="H460" s="78"/>
      <c r="I460" s="6"/>
      <c r="J460" s="6"/>
      <c r="K460" s="79"/>
      <c r="N460" s="79"/>
      <c r="Q460" s="67"/>
    </row>
    <row r="461" spans="1:17" ht="15.6">
      <c r="A461" s="67"/>
      <c r="B461" s="68"/>
      <c r="C461" s="40"/>
      <c r="D461" s="40"/>
      <c r="E461" s="40"/>
      <c r="F461" s="77"/>
      <c r="G461" s="77"/>
      <c r="H461" s="78"/>
      <c r="I461" s="6"/>
      <c r="J461" s="6"/>
      <c r="K461" s="79"/>
      <c r="N461" s="79"/>
      <c r="Q461" s="67"/>
    </row>
    <row r="462" spans="1:17" ht="15.6">
      <c r="A462" s="67"/>
      <c r="B462" s="68"/>
      <c r="C462" s="40"/>
      <c r="D462" s="40"/>
      <c r="E462" s="40"/>
      <c r="F462" s="77"/>
      <c r="G462" s="77"/>
      <c r="H462" s="78"/>
      <c r="I462" s="6"/>
      <c r="J462" s="6"/>
      <c r="K462" s="79"/>
      <c r="N462" s="79"/>
      <c r="Q462" s="67"/>
    </row>
    <row r="463" spans="1:17" ht="15.6">
      <c r="A463" s="67"/>
      <c r="B463" s="68"/>
      <c r="C463" s="40"/>
      <c r="D463" s="40"/>
      <c r="E463" s="40"/>
      <c r="F463" s="77"/>
      <c r="G463" s="77"/>
      <c r="H463" s="78"/>
      <c r="I463" s="6"/>
      <c r="J463" s="6"/>
      <c r="K463" s="79"/>
      <c r="N463" s="79"/>
      <c r="Q463" s="67"/>
    </row>
    <row r="464" spans="1:17" ht="15.6">
      <c r="A464" s="67"/>
      <c r="B464" s="68"/>
      <c r="C464" s="40"/>
      <c r="D464" s="40"/>
      <c r="E464" s="40"/>
      <c r="F464" s="77"/>
      <c r="G464" s="77"/>
      <c r="H464" s="78"/>
      <c r="I464" s="6"/>
      <c r="J464" s="6"/>
      <c r="K464" s="79"/>
      <c r="N464" s="79"/>
      <c r="Q464" s="67"/>
    </row>
    <row r="465" spans="1:17" ht="15.6">
      <c r="A465" s="67"/>
      <c r="B465" s="68"/>
      <c r="C465" s="40"/>
      <c r="D465" s="40"/>
      <c r="E465" s="40"/>
      <c r="F465" s="77"/>
      <c r="G465" s="77"/>
      <c r="H465" s="78"/>
      <c r="I465" s="6"/>
      <c r="J465" s="6"/>
      <c r="K465" s="79"/>
      <c r="N465" s="79"/>
      <c r="Q465" s="67"/>
    </row>
    <row r="466" spans="1:17" ht="15.6">
      <c r="A466" s="67"/>
      <c r="B466" s="68"/>
      <c r="C466" s="40"/>
      <c r="D466" s="40"/>
      <c r="E466" s="40"/>
      <c r="F466" s="77"/>
      <c r="G466" s="77"/>
      <c r="H466" s="78"/>
      <c r="I466" s="6"/>
      <c r="J466" s="6"/>
      <c r="K466" s="79"/>
      <c r="N466" s="79"/>
      <c r="Q466" s="67"/>
    </row>
    <row r="467" spans="1:17" ht="15.6">
      <c r="A467" s="67"/>
      <c r="B467" s="68"/>
      <c r="C467" s="40"/>
      <c r="D467" s="40"/>
      <c r="E467" s="40"/>
      <c r="F467" s="77"/>
      <c r="G467" s="77"/>
      <c r="H467" s="78"/>
      <c r="I467" s="6"/>
      <c r="J467" s="6"/>
      <c r="K467" s="79"/>
      <c r="N467" s="79"/>
      <c r="Q467" s="67"/>
    </row>
    <row r="468" spans="1:17" ht="15.6">
      <c r="A468" s="67"/>
      <c r="B468" s="68"/>
      <c r="C468" s="40"/>
      <c r="D468" s="40"/>
      <c r="E468" s="40"/>
      <c r="F468" s="77"/>
      <c r="G468" s="77"/>
      <c r="H468" s="78"/>
      <c r="I468" s="6"/>
      <c r="J468" s="6"/>
      <c r="K468" s="79"/>
      <c r="N468" s="79"/>
      <c r="Q468" s="67"/>
    </row>
    <row r="469" spans="1:17" ht="15.6">
      <c r="A469" s="67"/>
      <c r="B469" s="68"/>
      <c r="C469" s="40"/>
      <c r="D469" s="40"/>
      <c r="E469" s="40"/>
      <c r="F469" s="77"/>
      <c r="G469" s="77"/>
      <c r="H469" s="78"/>
      <c r="I469" s="6"/>
      <c r="J469" s="6"/>
      <c r="K469" s="79"/>
      <c r="N469" s="79"/>
      <c r="Q469" s="67"/>
    </row>
    <row r="470" spans="1:17" ht="15.6">
      <c r="A470" s="67"/>
      <c r="B470" s="68"/>
      <c r="C470" s="40"/>
      <c r="D470" s="40"/>
      <c r="E470" s="40"/>
      <c r="F470" s="77"/>
      <c r="G470" s="77"/>
      <c r="H470" s="78"/>
      <c r="I470" s="6"/>
      <c r="J470" s="6"/>
      <c r="K470" s="79"/>
      <c r="N470" s="79"/>
      <c r="Q470" s="67"/>
    </row>
    <row r="471" spans="1:17" ht="15.6">
      <c r="A471" s="67"/>
      <c r="B471" s="68"/>
      <c r="C471" s="40"/>
      <c r="D471" s="40"/>
      <c r="E471" s="40"/>
      <c r="F471" s="77"/>
      <c r="G471" s="77"/>
      <c r="H471" s="78"/>
      <c r="I471" s="6"/>
      <c r="J471" s="6"/>
      <c r="K471" s="79"/>
      <c r="N471" s="79"/>
      <c r="Q471" s="67"/>
    </row>
    <row r="472" spans="1:17" ht="15.6">
      <c r="A472" s="67"/>
      <c r="B472" s="68"/>
      <c r="C472" s="40"/>
      <c r="D472" s="40"/>
      <c r="E472" s="40"/>
      <c r="F472" s="77"/>
      <c r="G472" s="77"/>
      <c r="H472" s="78"/>
      <c r="I472" s="6"/>
      <c r="J472" s="6"/>
      <c r="K472" s="79"/>
      <c r="N472" s="79"/>
      <c r="Q472" s="67"/>
    </row>
    <row r="473" spans="1:17" ht="15.6">
      <c r="A473" s="67"/>
      <c r="B473" s="68"/>
      <c r="C473" s="40"/>
      <c r="D473" s="40"/>
      <c r="E473" s="40"/>
      <c r="F473" s="77"/>
      <c r="G473" s="77"/>
      <c r="H473" s="78"/>
      <c r="I473" s="6"/>
      <c r="J473" s="6"/>
      <c r="K473" s="79"/>
      <c r="N473" s="79"/>
      <c r="Q473" s="67"/>
    </row>
    <row r="474" spans="1:17" ht="15.6">
      <c r="A474" s="67"/>
      <c r="B474" s="68"/>
      <c r="C474" s="40"/>
      <c r="D474" s="40"/>
      <c r="E474" s="40"/>
      <c r="F474" s="77"/>
      <c r="G474" s="77"/>
      <c r="H474" s="78"/>
      <c r="I474" s="6"/>
      <c r="J474" s="6"/>
      <c r="K474" s="79"/>
      <c r="N474" s="79"/>
      <c r="Q474" s="67"/>
    </row>
    <row r="475" spans="1:17" ht="15.6">
      <c r="A475" s="67"/>
      <c r="B475" s="68"/>
      <c r="C475" s="40"/>
      <c r="D475" s="40"/>
      <c r="E475" s="40"/>
      <c r="F475" s="77"/>
      <c r="G475" s="77"/>
      <c r="H475" s="78"/>
      <c r="I475" s="6"/>
      <c r="J475" s="6"/>
      <c r="K475" s="79"/>
      <c r="N475" s="79"/>
      <c r="Q475" s="67"/>
    </row>
    <row r="476" spans="1:17" ht="15.6">
      <c r="A476" s="67"/>
      <c r="B476" s="68"/>
      <c r="C476" s="40"/>
      <c r="D476" s="40"/>
      <c r="E476" s="40"/>
      <c r="F476" s="77"/>
      <c r="G476" s="77"/>
      <c r="H476" s="78"/>
      <c r="I476" s="6"/>
      <c r="J476" s="6"/>
      <c r="K476" s="79"/>
      <c r="N476" s="79"/>
      <c r="Q476" s="67"/>
    </row>
    <row r="477" spans="1:17" ht="15.6">
      <c r="A477" s="67"/>
      <c r="B477" s="68"/>
      <c r="C477" s="40"/>
      <c r="D477" s="40"/>
      <c r="E477" s="40"/>
      <c r="F477" s="77"/>
      <c r="G477" s="77"/>
      <c r="H477" s="78"/>
      <c r="I477" s="6"/>
      <c r="J477" s="6"/>
      <c r="K477" s="79"/>
      <c r="N477" s="79"/>
      <c r="Q477" s="67"/>
    </row>
    <row r="478" spans="1:17" ht="15.6">
      <c r="A478" s="67"/>
      <c r="B478" s="68"/>
      <c r="C478" s="40"/>
      <c r="D478" s="40"/>
      <c r="E478" s="40"/>
      <c r="F478" s="77"/>
      <c r="G478" s="77"/>
      <c r="H478" s="78"/>
      <c r="I478" s="6"/>
      <c r="J478" s="6"/>
      <c r="K478" s="79"/>
      <c r="N478" s="79"/>
      <c r="Q478" s="67"/>
    </row>
    <row r="479" spans="1:17" ht="15.6">
      <c r="A479" s="67"/>
      <c r="B479" s="68"/>
      <c r="C479" s="40"/>
      <c r="D479" s="40"/>
      <c r="E479" s="40"/>
      <c r="F479" s="77"/>
      <c r="G479" s="77"/>
      <c r="H479" s="78"/>
      <c r="I479" s="6"/>
      <c r="J479" s="6"/>
      <c r="K479" s="79"/>
      <c r="N479" s="79"/>
      <c r="Q479" s="67"/>
    </row>
    <row r="480" spans="1:17" ht="15.6">
      <c r="A480" s="67"/>
      <c r="B480" s="68"/>
      <c r="C480" s="40"/>
      <c r="D480" s="40"/>
      <c r="E480" s="40"/>
      <c r="F480" s="77"/>
      <c r="G480" s="77"/>
      <c r="H480" s="78"/>
      <c r="I480" s="6"/>
      <c r="J480" s="6"/>
      <c r="K480" s="79"/>
      <c r="N480" s="79"/>
      <c r="Q480" s="67"/>
    </row>
    <row r="481" spans="1:17" ht="15.6">
      <c r="A481" s="67"/>
      <c r="B481" s="68"/>
      <c r="C481" s="40"/>
      <c r="D481" s="40"/>
      <c r="E481" s="40"/>
      <c r="F481" s="77"/>
      <c r="G481" s="77"/>
      <c r="H481" s="78"/>
      <c r="I481" s="6"/>
      <c r="J481" s="6"/>
      <c r="K481" s="79"/>
      <c r="N481" s="79"/>
      <c r="Q481" s="67"/>
    </row>
    <row r="482" spans="1:17" ht="15.6">
      <c r="A482" s="67"/>
      <c r="B482" s="68"/>
      <c r="C482" s="40"/>
      <c r="D482" s="40"/>
      <c r="E482" s="40"/>
      <c r="F482" s="77"/>
      <c r="G482" s="77"/>
      <c r="H482" s="78"/>
      <c r="I482" s="6"/>
      <c r="J482" s="6"/>
      <c r="K482" s="79"/>
      <c r="N482" s="79"/>
      <c r="Q482" s="67"/>
    </row>
    <row r="483" spans="1:17" ht="15.6">
      <c r="A483" s="67"/>
      <c r="B483" s="68"/>
      <c r="C483" s="40"/>
      <c r="D483" s="40"/>
      <c r="E483" s="40"/>
      <c r="F483" s="77"/>
      <c r="G483" s="77"/>
      <c r="H483" s="78"/>
      <c r="I483" s="6"/>
      <c r="J483" s="6"/>
      <c r="K483" s="79"/>
      <c r="N483" s="79"/>
      <c r="Q483" s="67"/>
    </row>
    <row r="484" spans="1:17" ht="15.6">
      <c r="A484" s="67"/>
      <c r="B484" s="68"/>
      <c r="C484" s="40"/>
      <c r="D484" s="40"/>
      <c r="E484" s="40"/>
      <c r="F484" s="77"/>
      <c r="G484" s="77"/>
      <c r="H484" s="78"/>
      <c r="I484" s="6"/>
      <c r="J484" s="6"/>
      <c r="K484" s="79"/>
      <c r="N484" s="79"/>
      <c r="Q484" s="67"/>
    </row>
    <row r="485" spans="1:17" ht="15.6">
      <c r="A485" s="67"/>
      <c r="B485" s="68"/>
      <c r="C485" s="40"/>
      <c r="D485" s="40"/>
      <c r="E485" s="40"/>
      <c r="F485" s="77"/>
      <c r="G485" s="77"/>
      <c r="H485" s="78"/>
      <c r="I485" s="6"/>
      <c r="J485" s="6"/>
      <c r="K485" s="79"/>
      <c r="N485" s="79"/>
      <c r="Q485" s="67"/>
    </row>
    <row r="486" spans="1:17" ht="15.6">
      <c r="A486" s="67"/>
      <c r="B486" s="68"/>
      <c r="C486" s="40"/>
      <c r="D486" s="40"/>
      <c r="E486" s="40"/>
      <c r="F486" s="77"/>
      <c r="G486" s="77"/>
      <c r="H486" s="78"/>
      <c r="I486" s="6"/>
      <c r="J486" s="6"/>
      <c r="K486" s="79"/>
      <c r="N486" s="79"/>
      <c r="Q486" s="67"/>
    </row>
    <row r="487" spans="1:17" ht="15.6">
      <c r="A487" s="67"/>
      <c r="B487" s="68"/>
      <c r="C487" s="40"/>
      <c r="D487" s="40"/>
      <c r="E487" s="40"/>
      <c r="F487" s="77"/>
      <c r="G487" s="77"/>
      <c r="H487" s="78"/>
      <c r="I487" s="6"/>
      <c r="J487" s="6"/>
      <c r="K487" s="79"/>
      <c r="N487" s="79"/>
      <c r="Q487" s="67"/>
    </row>
    <row r="488" spans="1:17" ht="15.6">
      <c r="A488" s="67"/>
      <c r="B488" s="68"/>
      <c r="C488" s="40"/>
      <c r="D488" s="40"/>
      <c r="E488" s="40"/>
      <c r="F488" s="77"/>
      <c r="G488" s="77"/>
      <c r="H488" s="78"/>
      <c r="I488" s="6"/>
      <c r="J488" s="6"/>
      <c r="K488" s="79"/>
      <c r="N488" s="79"/>
      <c r="Q488" s="67"/>
    </row>
    <row r="489" spans="1:17" ht="15.6">
      <c r="A489" s="67"/>
      <c r="B489" s="68"/>
      <c r="C489" s="40"/>
      <c r="D489" s="40"/>
      <c r="E489" s="40"/>
      <c r="F489" s="77"/>
      <c r="G489" s="77"/>
      <c r="H489" s="78"/>
      <c r="I489" s="6"/>
      <c r="J489" s="6"/>
      <c r="K489" s="79"/>
      <c r="N489" s="79"/>
      <c r="Q489" s="67"/>
    </row>
    <row r="490" spans="1:17" ht="15.6">
      <c r="A490" s="67"/>
      <c r="B490" s="68"/>
      <c r="C490" s="40"/>
      <c r="D490" s="40"/>
      <c r="E490" s="40"/>
      <c r="F490" s="77"/>
      <c r="G490" s="77"/>
      <c r="H490" s="78"/>
      <c r="I490" s="6"/>
      <c r="J490" s="6"/>
      <c r="K490" s="79"/>
      <c r="N490" s="79"/>
      <c r="Q490" s="67"/>
    </row>
    <row r="491" spans="1:17" ht="15.6">
      <c r="A491" s="67"/>
      <c r="B491" s="68"/>
      <c r="C491" s="40"/>
      <c r="D491" s="40"/>
      <c r="E491" s="40"/>
      <c r="F491" s="77"/>
      <c r="G491" s="77"/>
      <c r="H491" s="78"/>
      <c r="I491" s="6"/>
      <c r="J491" s="6"/>
      <c r="K491" s="79"/>
      <c r="N491" s="79"/>
      <c r="Q491" s="67"/>
    </row>
    <row r="492" spans="1:17" ht="15.6">
      <c r="A492" s="67"/>
      <c r="B492" s="68"/>
      <c r="C492" s="40"/>
      <c r="D492" s="40"/>
      <c r="E492" s="40"/>
      <c r="F492" s="77"/>
      <c r="G492" s="77"/>
      <c r="H492" s="78"/>
      <c r="I492" s="6"/>
      <c r="J492" s="6"/>
      <c r="K492" s="79"/>
      <c r="N492" s="79"/>
      <c r="Q492" s="67"/>
    </row>
    <row r="493" spans="1:17" ht="15.6">
      <c r="A493" s="67"/>
      <c r="B493" s="68"/>
      <c r="C493" s="40"/>
      <c r="D493" s="40"/>
      <c r="E493" s="40"/>
      <c r="F493" s="77"/>
      <c r="G493" s="77"/>
      <c r="H493" s="78"/>
      <c r="I493" s="6"/>
      <c r="J493" s="6"/>
      <c r="K493" s="79"/>
      <c r="N493" s="79"/>
      <c r="Q493" s="67"/>
    </row>
    <row r="494" spans="1:17" ht="15.6">
      <c r="A494" s="67"/>
      <c r="B494" s="68"/>
      <c r="C494" s="40"/>
      <c r="D494" s="40"/>
      <c r="E494" s="40"/>
      <c r="F494" s="77"/>
      <c r="G494" s="77"/>
      <c r="H494" s="78"/>
      <c r="I494" s="6"/>
      <c r="J494" s="6"/>
      <c r="K494" s="79"/>
      <c r="N494" s="79"/>
      <c r="Q494" s="67"/>
    </row>
    <row r="495" spans="1:17" ht="15.6">
      <c r="A495" s="67"/>
      <c r="B495" s="68"/>
      <c r="C495" s="40"/>
      <c r="D495" s="40"/>
      <c r="E495" s="40"/>
      <c r="F495" s="77"/>
      <c r="G495" s="77"/>
      <c r="H495" s="78"/>
      <c r="I495" s="6"/>
      <c r="J495" s="6"/>
      <c r="K495" s="79"/>
      <c r="N495" s="79"/>
      <c r="Q495" s="67"/>
    </row>
    <row r="496" spans="1:17" ht="15.6">
      <c r="A496" s="67"/>
      <c r="B496" s="68"/>
      <c r="C496" s="40"/>
      <c r="D496" s="40"/>
      <c r="E496" s="40"/>
      <c r="F496" s="77"/>
      <c r="G496" s="77"/>
      <c r="H496" s="78"/>
      <c r="I496" s="6"/>
      <c r="J496" s="6"/>
      <c r="K496" s="79"/>
      <c r="N496" s="79"/>
      <c r="Q496" s="67"/>
    </row>
    <row r="497" spans="1:17" ht="15.6">
      <c r="A497" s="67"/>
      <c r="B497" s="68"/>
      <c r="C497" s="40"/>
      <c r="D497" s="40"/>
      <c r="E497" s="40"/>
      <c r="F497" s="77"/>
      <c r="G497" s="77"/>
      <c r="H497" s="78"/>
      <c r="I497" s="6"/>
      <c r="J497" s="6"/>
      <c r="K497" s="79"/>
      <c r="N497" s="79"/>
      <c r="Q497" s="67"/>
    </row>
    <row r="498" spans="1:17" ht="15.6">
      <c r="A498" s="67"/>
      <c r="B498" s="68"/>
      <c r="C498" s="40"/>
      <c r="D498" s="40"/>
      <c r="E498" s="40"/>
      <c r="F498" s="77"/>
      <c r="G498" s="77"/>
      <c r="H498" s="78"/>
      <c r="I498" s="6"/>
      <c r="J498" s="6"/>
      <c r="K498" s="79"/>
      <c r="N498" s="79"/>
      <c r="Q498" s="67"/>
    </row>
    <row r="499" spans="1:17" ht="15.6">
      <c r="A499" s="67"/>
      <c r="B499" s="68"/>
      <c r="C499" s="40"/>
      <c r="D499" s="40"/>
      <c r="E499" s="40"/>
      <c r="F499" s="77"/>
      <c r="G499" s="77"/>
      <c r="H499" s="78"/>
      <c r="I499" s="6"/>
      <c r="J499" s="6"/>
      <c r="K499" s="79"/>
      <c r="N499" s="79"/>
      <c r="Q499" s="67"/>
    </row>
    <row r="500" spans="1:17" ht="15.6">
      <c r="A500" s="67"/>
      <c r="B500" s="68"/>
      <c r="C500" s="40"/>
      <c r="D500" s="40"/>
      <c r="E500" s="40"/>
      <c r="F500" s="77"/>
      <c r="G500" s="77"/>
      <c r="H500" s="78"/>
      <c r="I500" s="6"/>
      <c r="J500" s="6"/>
      <c r="K500" s="79"/>
      <c r="N500" s="79"/>
      <c r="Q500" s="67"/>
    </row>
    <row r="501" spans="1:17" ht="15.6">
      <c r="A501" s="67"/>
      <c r="B501" s="68"/>
      <c r="C501" s="40"/>
      <c r="D501" s="40"/>
      <c r="E501" s="40"/>
      <c r="F501" s="77"/>
      <c r="G501" s="77"/>
      <c r="H501" s="78"/>
      <c r="I501" s="6"/>
      <c r="J501" s="6"/>
      <c r="K501" s="79"/>
      <c r="N501" s="79"/>
      <c r="Q501" s="67"/>
    </row>
    <row r="502" spans="1:17" ht="15.6">
      <c r="A502" s="67"/>
      <c r="B502" s="68"/>
      <c r="C502" s="40"/>
      <c r="D502" s="40"/>
      <c r="E502" s="40"/>
      <c r="F502" s="77"/>
      <c r="G502" s="77"/>
      <c r="H502" s="78"/>
      <c r="I502" s="6"/>
      <c r="J502" s="6"/>
      <c r="K502" s="79"/>
      <c r="N502" s="79"/>
      <c r="Q502" s="67"/>
    </row>
    <row r="503" spans="1:17" ht="15.6">
      <c r="A503" s="67"/>
      <c r="B503" s="68"/>
      <c r="C503" s="40"/>
      <c r="D503" s="40"/>
      <c r="E503" s="40"/>
      <c r="F503" s="77"/>
      <c r="G503" s="77"/>
      <c r="H503" s="78"/>
      <c r="I503" s="6"/>
      <c r="J503" s="6"/>
      <c r="K503" s="79"/>
      <c r="N503" s="79"/>
      <c r="Q503" s="67"/>
    </row>
    <row r="504" spans="1:17" ht="15.6">
      <c r="A504" s="67"/>
      <c r="B504" s="68"/>
      <c r="C504" s="40"/>
      <c r="D504" s="40"/>
      <c r="E504" s="40"/>
      <c r="F504" s="77"/>
      <c r="G504" s="77"/>
      <c r="H504" s="78"/>
      <c r="I504" s="6"/>
      <c r="J504" s="6"/>
      <c r="K504" s="79"/>
      <c r="N504" s="79"/>
      <c r="Q504" s="67"/>
    </row>
    <row r="505" spans="1:17" ht="15.6">
      <c r="A505" s="67"/>
      <c r="B505" s="68"/>
      <c r="C505" s="40"/>
      <c r="D505" s="40"/>
      <c r="E505" s="40"/>
      <c r="F505" s="77"/>
      <c r="G505" s="77"/>
      <c r="H505" s="78"/>
      <c r="I505" s="6"/>
      <c r="J505" s="6"/>
      <c r="K505" s="79"/>
      <c r="N505" s="79"/>
      <c r="Q505" s="67"/>
    </row>
    <row r="506" spans="1:17" ht="15.6">
      <c r="A506" s="67"/>
      <c r="B506" s="68"/>
      <c r="C506" s="40"/>
      <c r="D506" s="40"/>
      <c r="E506" s="40"/>
      <c r="F506" s="77"/>
      <c r="G506" s="77"/>
      <c r="H506" s="78"/>
      <c r="I506" s="6"/>
      <c r="J506" s="6"/>
      <c r="K506" s="79"/>
      <c r="N506" s="79"/>
      <c r="Q506" s="67"/>
    </row>
    <row r="507" spans="1:17" ht="15.6">
      <c r="A507" s="67"/>
      <c r="B507" s="68"/>
      <c r="C507" s="40"/>
      <c r="D507" s="40"/>
      <c r="E507" s="40"/>
      <c r="F507" s="77"/>
      <c r="G507" s="77"/>
      <c r="H507" s="78"/>
      <c r="I507" s="6"/>
      <c r="J507" s="6"/>
      <c r="K507" s="79"/>
      <c r="N507" s="79"/>
      <c r="Q507" s="67"/>
    </row>
    <row r="508" spans="1:17" ht="15.6">
      <c r="A508" s="67"/>
      <c r="B508" s="68"/>
      <c r="C508" s="40"/>
      <c r="D508" s="40"/>
      <c r="E508" s="40"/>
      <c r="F508" s="77"/>
      <c r="G508" s="77"/>
      <c r="H508" s="78"/>
      <c r="I508" s="6"/>
      <c r="J508" s="6"/>
      <c r="K508" s="79"/>
      <c r="N508" s="79"/>
      <c r="Q508" s="67"/>
    </row>
    <row r="509" spans="1:17" ht="15.6">
      <c r="A509" s="67"/>
      <c r="B509" s="68"/>
      <c r="C509" s="40"/>
      <c r="D509" s="40"/>
      <c r="E509" s="40"/>
      <c r="F509" s="77"/>
      <c r="G509" s="77"/>
      <c r="H509" s="78"/>
      <c r="I509" s="6"/>
      <c r="J509" s="6"/>
      <c r="K509" s="79"/>
      <c r="N509" s="79"/>
      <c r="Q509" s="67"/>
    </row>
    <row r="510" spans="1:17" ht="15.6">
      <c r="A510" s="67"/>
      <c r="B510" s="68"/>
      <c r="C510" s="40"/>
      <c r="D510" s="40"/>
      <c r="E510" s="40"/>
      <c r="F510" s="77"/>
      <c r="G510" s="77"/>
      <c r="H510" s="78"/>
      <c r="I510" s="6"/>
      <c r="J510" s="6"/>
      <c r="K510" s="79"/>
      <c r="N510" s="79"/>
      <c r="Q510" s="67"/>
    </row>
    <row r="511" spans="1:17" ht="15.6">
      <c r="A511" s="67"/>
      <c r="B511" s="68"/>
      <c r="C511" s="40"/>
      <c r="D511" s="40"/>
      <c r="E511" s="40"/>
      <c r="F511" s="77"/>
      <c r="G511" s="77"/>
      <c r="H511" s="78"/>
      <c r="I511" s="6"/>
      <c r="J511" s="6"/>
      <c r="K511" s="79"/>
      <c r="N511" s="79"/>
      <c r="Q511" s="67"/>
    </row>
    <row r="512" spans="1:17" ht="15.6">
      <c r="A512" s="67"/>
      <c r="B512" s="68"/>
      <c r="C512" s="40"/>
      <c r="D512" s="40"/>
      <c r="E512" s="40"/>
      <c r="F512" s="77"/>
      <c r="G512" s="77"/>
      <c r="H512" s="78"/>
      <c r="I512" s="6"/>
      <c r="J512" s="6"/>
      <c r="K512" s="79"/>
      <c r="N512" s="79"/>
      <c r="Q512" s="67"/>
    </row>
    <row r="513" spans="1:17" ht="15.6">
      <c r="A513" s="67"/>
      <c r="B513" s="68"/>
      <c r="C513" s="40"/>
      <c r="D513" s="40"/>
      <c r="E513" s="40"/>
      <c r="F513" s="77"/>
      <c r="G513" s="77"/>
      <c r="H513" s="78"/>
      <c r="I513" s="6"/>
      <c r="J513" s="6"/>
      <c r="K513" s="79"/>
      <c r="N513" s="79"/>
      <c r="Q513" s="67"/>
    </row>
    <row r="514" spans="1:17" ht="15.6">
      <c r="A514" s="67"/>
      <c r="B514" s="68"/>
      <c r="C514" s="40"/>
      <c r="D514" s="40"/>
      <c r="E514" s="40"/>
      <c r="F514" s="77"/>
      <c r="G514" s="77"/>
      <c r="H514" s="78"/>
      <c r="I514" s="6"/>
      <c r="J514" s="6"/>
      <c r="K514" s="79"/>
      <c r="N514" s="79"/>
      <c r="Q514" s="67"/>
    </row>
    <row r="515" spans="1:17" ht="15.6">
      <c r="A515" s="67"/>
      <c r="B515" s="68"/>
      <c r="C515" s="40"/>
      <c r="D515" s="40"/>
      <c r="E515" s="40"/>
      <c r="F515" s="77"/>
      <c r="G515" s="77"/>
      <c r="H515" s="78"/>
      <c r="I515" s="6"/>
      <c r="J515" s="6"/>
      <c r="K515" s="79"/>
      <c r="N515" s="79"/>
      <c r="Q515" s="67"/>
    </row>
    <row r="516" spans="1:17" ht="15.6">
      <c r="A516" s="67"/>
      <c r="B516" s="68"/>
      <c r="C516" s="40"/>
      <c r="D516" s="40"/>
      <c r="E516" s="40"/>
      <c r="F516" s="77"/>
      <c r="G516" s="77"/>
      <c r="H516" s="78"/>
      <c r="I516" s="6"/>
      <c r="J516" s="6"/>
      <c r="K516" s="79"/>
      <c r="N516" s="79"/>
      <c r="Q516" s="67"/>
    </row>
    <row r="517" spans="1:17" ht="15.6">
      <c r="A517" s="67"/>
      <c r="B517" s="68"/>
      <c r="C517" s="40"/>
      <c r="D517" s="40"/>
      <c r="E517" s="40"/>
      <c r="F517" s="77"/>
      <c r="G517" s="77"/>
      <c r="H517" s="78"/>
      <c r="I517" s="6"/>
      <c r="J517" s="6"/>
      <c r="K517" s="79"/>
      <c r="N517" s="79"/>
      <c r="Q517" s="67"/>
    </row>
    <row r="518" spans="1:17" ht="15.6">
      <c r="A518" s="67"/>
      <c r="B518" s="68"/>
      <c r="C518" s="40"/>
      <c r="D518" s="40"/>
      <c r="E518" s="40"/>
      <c r="F518" s="77"/>
      <c r="G518" s="77"/>
      <c r="H518" s="78"/>
      <c r="I518" s="6"/>
      <c r="J518" s="6"/>
      <c r="K518" s="79"/>
      <c r="N518" s="79"/>
      <c r="Q518" s="67"/>
    </row>
    <row r="519" spans="1:17" ht="15.6">
      <c r="A519" s="67"/>
      <c r="B519" s="68"/>
      <c r="C519" s="40"/>
      <c r="D519" s="40"/>
      <c r="E519" s="40"/>
      <c r="F519" s="77"/>
      <c r="G519" s="77"/>
      <c r="H519" s="78"/>
      <c r="I519" s="6"/>
      <c r="J519" s="6"/>
      <c r="K519" s="79"/>
      <c r="N519" s="79"/>
      <c r="Q519" s="67"/>
    </row>
    <row r="520" spans="1:17" ht="15.6">
      <c r="A520" s="67"/>
      <c r="B520" s="68"/>
      <c r="C520" s="40"/>
      <c r="D520" s="40"/>
      <c r="E520" s="40"/>
      <c r="F520" s="77"/>
      <c r="G520" s="77"/>
      <c r="H520" s="78"/>
      <c r="I520" s="6"/>
      <c r="J520" s="6"/>
      <c r="K520" s="79"/>
      <c r="N520" s="79"/>
      <c r="Q520" s="67"/>
    </row>
    <row r="521" spans="1:17" ht="15.6">
      <c r="A521" s="67"/>
      <c r="B521" s="68"/>
      <c r="C521" s="40"/>
      <c r="D521" s="40"/>
      <c r="E521" s="40"/>
      <c r="F521" s="77"/>
      <c r="G521" s="77"/>
      <c r="H521" s="78"/>
      <c r="I521" s="6"/>
      <c r="J521" s="6"/>
      <c r="K521" s="79"/>
      <c r="N521" s="79"/>
      <c r="Q521" s="67"/>
    </row>
    <row r="522" spans="1:17" ht="15.6">
      <c r="A522" s="67"/>
      <c r="B522" s="68"/>
      <c r="C522" s="40"/>
      <c r="D522" s="40"/>
      <c r="E522" s="40"/>
      <c r="F522" s="77"/>
      <c r="G522" s="77"/>
      <c r="H522" s="78"/>
      <c r="I522" s="6"/>
      <c r="J522" s="6"/>
      <c r="K522" s="79"/>
      <c r="N522" s="79"/>
      <c r="Q522" s="67"/>
    </row>
    <row r="523" spans="1:17" ht="15.6">
      <c r="A523" s="67"/>
      <c r="B523" s="68"/>
      <c r="C523" s="40"/>
      <c r="D523" s="40"/>
      <c r="E523" s="40"/>
      <c r="F523" s="77"/>
      <c r="G523" s="77"/>
      <c r="H523" s="78"/>
      <c r="I523" s="6"/>
      <c r="J523" s="6"/>
      <c r="K523" s="79"/>
      <c r="N523" s="79"/>
      <c r="Q523" s="67"/>
    </row>
    <row r="524" spans="1:17" ht="15.6">
      <c r="A524" s="67"/>
      <c r="B524" s="68"/>
      <c r="C524" s="40"/>
      <c r="D524" s="40"/>
      <c r="E524" s="40"/>
      <c r="F524" s="77"/>
      <c r="G524" s="77"/>
      <c r="H524" s="78"/>
      <c r="I524" s="6"/>
      <c r="J524" s="6"/>
      <c r="K524" s="79"/>
      <c r="N524" s="79"/>
      <c r="Q524" s="67"/>
    </row>
    <row r="525" spans="1:17" ht="15.6">
      <c r="A525" s="67"/>
      <c r="B525" s="68"/>
      <c r="C525" s="40"/>
      <c r="D525" s="40"/>
      <c r="E525" s="40"/>
      <c r="F525" s="77"/>
      <c r="G525" s="77"/>
      <c r="H525" s="78"/>
      <c r="I525" s="6"/>
      <c r="J525" s="6"/>
      <c r="K525" s="79"/>
      <c r="N525" s="79"/>
      <c r="Q525" s="67"/>
    </row>
    <row r="526" spans="1:17" ht="15.6">
      <c r="A526" s="67"/>
      <c r="B526" s="68"/>
      <c r="C526" s="40"/>
      <c r="D526" s="40"/>
      <c r="E526" s="40"/>
      <c r="F526" s="77"/>
      <c r="G526" s="77"/>
      <c r="H526" s="78"/>
      <c r="I526" s="6"/>
      <c r="J526" s="6"/>
      <c r="K526" s="79"/>
      <c r="N526" s="79"/>
      <c r="Q526" s="67"/>
    </row>
    <row r="527" spans="1:17" ht="15.6">
      <c r="A527" s="67"/>
      <c r="B527" s="68"/>
      <c r="C527" s="40"/>
      <c r="D527" s="40"/>
      <c r="E527" s="40"/>
      <c r="F527" s="77"/>
      <c r="G527" s="77"/>
      <c r="H527" s="78"/>
      <c r="I527" s="6"/>
      <c r="J527" s="6"/>
      <c r="K527" s="79"/>
      <c r="N527" s="79"/>
      <c r="Q527" s="67"/>
    </row>
    <row r="528" spans="1:17" ht="15.6">
      <c r="A528" s="67"/>
      <c r="B528" s="68"/>
      <c r="C528" s="40"/>
      <c r="D528" s="40"/>
      <c r="E528" s="40"/>
      <c r="F528" s="77"/>
      <c r="G528" s="77"/>
      <c r="H528" s="78"/>
      <c r="I528" s="6"/>
      <c r="J528" s="6"/>
      <c r="K528" s="79"/>
      <c r="N528" s="79"/>
      <c r="Q528" s="67"/>
    </row>
    <row r="529" spans="1:17" ht="15.6">
      <c r="A529" s="67"/>
      <c r="B529" s="68"/>
      <c r="C529" s="40"/>
      <c r="D529" s="40"/>
      <c r="E529" s="40"/>
      <c r="F529" s="77"/>
      <c r="G529" s="77"/>
      <c r="H529" s="78"/>
      <c r="I529" s="6"/>
      <c r="J529" s="6"/>
      <c r="K529" s="79"/>
      <c r="N529" s="79"/>
      <c r="Q529" s="67"/>
    </row>
    <row r="530" spans="1:17" ht="15.6">
      <c r="A530" s="67"/>
      <c r="B530" s="68"/>
      <c r="C530" s="40"/>
      <c r="D530" s="40"/>
      <c r="E530" s="40"/>
      <c r="F530" s="77"/>
      <c r="G530" s="77"/>
      <c r="H530" s="78"/>
      <c r="I530" s="6"/>
      <c r="J530" s="6"/>
      <c r="K530" s="79"/>
      <c r="N530" s="79"/>
      <c r="Q530" s="67"/>
    </row>
    <row r="531" spans="1:17" ht="15.6">
      <c r="A531" s="67"/>
      <c r="B531" s="68"/>
      <c r="C531" s="40"/>
      <c r="D531" s="40"/>
      <c r="E531" s="40"/>
      <c r="F531" s="77"/>
      <c r="G531" s="77"/>
      <c r="H531" s="78"/>
      <c r="I531" s="6"/>
      <c r="J531" s="6"/>
      <c r="K531" s="79"/>
      <c r="N531" s="79"/>
      <c r="Q531" s="67"/>
    </row>
    <row r="532" spans="1:17" ht="15.6">
      <c r="A532" s="67"/>
      <c r="B532" s="68"/>
      <c r="C532" s="40"/>
      <c r="D532" s="40"/>
      <c r="E532" s="40"/>
      <c r="F532" s="77"/>
      <c r="G532" s="77"/>
      <c r="H532" s="78"/>
      <c r="I532" s="6"/>
      <c r="J532" s="6"/>
      <c r="K532" s="79"/>
      <c r="N532" s="79"/>
      <c r="Q532" s="67"/>
    </row>
    <row r="533" spans="1:17" ht="15.6">
      <c r="A533" s="67"/>
      <c r="B533" s="68"/>
      <c r="C533" s="40"/>
      <c r="D533" s="40"/>
      <c r="E533" s="40"/>
      <c r="F533" s="77"/>
      <c r="G533" s="77"/>
      <c r="H533" s="78"/>
      <c r="I533" s="6"/>
      <c r="J533" s="6"/>
      <c r="K533" s="79"/>
      <c r="N533" s="79"/>
      <c r="Q533" s="67"/>
    </row>
    <row r="534" spans="1:17" ht="15.6">
      <c r="A534" s="67"/>
      <c r="B534" s="68"/>
      <c r="C534" s="40"/>
      <c r="D534" s="40"/>
      <c r="E534" s="40"/>
      <c r="F534" s="77"/>
      <c r="G534" s="77"/>
      <c r="H534" s="78"/>
      <c r="I534" s="6"/>
      <c r="J534" s="6"/>
      <c r="K534" s="79"/>
      <c r="N534" s="79"/>
      <c r="Q534" s="67"/>
    </row>
    <row r="535" spans="1:17" ht="15.6">
      <c r="A535" s="67"/>
      <c r="B535" s="68"/>
      <c r="C535" s="40"/>
      <c r="D535" s="40"/>
      <c r="E535" s="40"/>
      <c r="F535" s="77"/>
      <c r="G535" s="77"/>
      <c r="H535" s="78"/>
      <c r="I535" s="6"/>
      <c r="J535" s="6"/>
      <c r="K535" s="79"/>
      <c r="N535" s="79"/>
      <c r="Q535" s="67"/>
    </row>
    <row r="536" spans="1:17" ht="15.6">
      <c r="A536" s="67"/>
      <c r="B536" s="68"/>
      <c r="C536" s="40"/>
      <c r="D536" s="40"/>
      <c r="E536" s="40"/>
      <c r="F536" s="77"/>
      <c r="G536" s="77"/>
      <c r="H536" s="78"/>
      <c r="I536" s="6"/>
      <c r="J536" s="6"/>
      <c r="K536" s="79"/>
      <c r="N536" s="79"/>
      <c r="Q536" s="67"/>
    </row>
    <row r="537" spans="1:17" ht="15.6">
      <c r="A537" s="67"/>
      <c r="B537" s="68"/>
      <c r="C537" s="40"/>
      <c r="D537" s="40"/>
      <c r="E537" s="40"/>
      <c r="F537" s="77"/>
      <c r="G537" s="77"/>
      <c r="H537" s="78"/>
      <c r="I537" s="6"/>
      <c r="J537" s="6"/>
      <c r="K537" s="79"/>
      <c r="N537" s="79"/>
      <c r="Q537" s="67"/>
    </row>
    <row r="538" spans="1:17" ht="15.6">
      <c r="A538" s="67"/>
      <c r="B538" s="68"/>
      <c r="C538" s="40"/>
      <c r="D538" s="40"/>
      <c r="E538" s="40"/>
      <c r="F538" s="77"/>
      <c r="G538" s="77"/>
      <c r="H538" s="78"/>
      <c r="I538" s="6"/>
      <c r="J538" s="6"/>
      <c r="K538" s="79"/>
      <c r="N538" s="79"/>
      <c r="Q538" s="67"/>
    </row>
    <row r="539" spans="1:17" ht="15.6">
      <c r="A539" s="67"/>
      <c r="B539" s="68"/>
      <c r="C539" s="40"/>
      <c r="D539" s="40"/>
      <c r="E539" s="40"/>
      <c r="F539" s="77"/>
      <c r="G539" s="77"/>
      <c r="H539" s="78"/>
      <c r="I539" s="6"/>
      <c r="J539" s="6"/>
      <c r="K539" s="79"/>
      <c r="N539" s="79"/>
      <c r="Q539" s="67"/>
    </row>
    <row r="540" spans="1:17" ht="15.6">
      <c r="A540" s="67"/>
      <c r="B540" s="68"/>
      <c r="C540" s="40"/>
      <c r="D540" s="40"/>
      <c r="E540" s="40"/>
      <c r="F540" s="77"/>
      <c r="G540" s="77"/>
      <c r="H540" s="78"/>
      <c r="I540" s="6"/>
      <c r="J540" s="6"/>
      <c r="K540" s="79"/>
      <c r="N540" s="79"/>
      <c r="Q540" s="67"/>
    </row>
    <row r="541" spans="1:17" ht="15.6">
      <c r="A541" s="67"/>
      <c r="B541" s="68"/>
      <c r="C541" s="40"/>
      <c r="D541" s="40"/>
      <c r="E541" s="40"/>
      <c r="F541" s="77"/>
      <c r="G541" s="77"/>
      <c r="H541" s="78"/>
      <c r="I541" s="6"/>
      <c r="J541" s="6"/>
      <c r="K541" s="79"/>
      <c r="N541" s="79"/>
      <c r="Q541" s="67"/>
    </row>
    <row r="542" spans="1:17" ht="15.6">
      <c r="A542" s="67"/>
      <c r="B542" s="68"/>
      <c r="C542" s="40"/>
      <c r="D542" s="40"/>
      <c r="E542" s="40"/>
      <c r="F542" s="77"/>
      <c r="G542" s="77"/>
      <c r="H542" s="78"/>
      <c r="I542" s="6"/>
      <c r="J542" s="6"/>
      <c r="K542" s="79"/>
      <c r="N542" s="79"/>
      <c r="Q542" s="67"/>
    </row>
    <row r="543" spans="1:17" ht="15.6">
      <c r="A543" s="67"/>
      <c r="B543" s="68"/>
      <c r="C543" s="40"/>
      <c r="D543" s="40"/>
      <c r="E543" s="40"/>
      <c r="F543" s="77"/>
      <c r="G543" s="77"/>
      <c r="H543" s="78"/>
      <c r="I543" s="6"/>
      <c r="J543" s="6"/>
      <c r="K543" s="79"/>
      <c r="N543" s="79"/>
      <c r="Q543" s="67"/>
    </row>
    <row r="544" spans="1:17" ht="15.6">
      <c r="A544" s="67"/>
      <c r="B544" s="68"/>
      <c r="C544" s="40"/>
      <c r="D544" s="40"/>
      <c r="E544" s="40"/>
      <c r="F544" s="77"/>
      <c r="G544" s="77"/>
      <c r="H544" s="78"/>
      <c r="I544" s="6"/>
      <c r="J544" s="6"/>
      <c r="K544" s="79"/>
      <c r="N544" s="79"/>
      <c r="Q544" s="67"/>
    </row>
    <row r="545" spans="1:17" ht="15.6">
      <c r="A545" s="67"/>
      <c r="B545" s="68"/>
      <c r="C545" s="40"/>
      <c r="D545" s="40"/>
      <c r="E545" s="40"/>
      <c r="F545" s="77"/>
      <c r="G545" s="77"/>
      <c r="H545" s="78"/>
      <c r="I545" s="6"/>
      <c r="J545" s="6"/>
      <c r="K545" s="79"/>
      <c r="N545" s="79"/>
      <c r="Q545" s="67"/>
    </row>
    <row r="546" spans="1:17" ht="15.6">
      <c r="A546" s="67"/>
      <c r="B546" s="68"/>
      <c r="C546" s="40"/>
      <c r="D546" s="40"/>
      <c r="E546" s="40"/>
      <c r="F546" s="77"/>
      <c r="G546" s="77"/>
      <c r="H546" s="78"/>
      <c r="I546" s="6"/>
      <c r="J546" s="6"/>
      <c r="K546" s="79"/>
      <c r="N546" s="79"/>
      <c r="Q546" s="67"/>
    </row>
    <row r="547" spans="1:17" ht="15.6">
      <c r="A547" s="67"/>
      <c r="B547" s="68"/>
      <c r="C547" s="40"/>
      <c r="D547" s="40"/>
      <c r="E547" s="40"/>
      <c r="F547" s="77"/>
      <c r="G547" s="77"/>
      <c r="H547" s="78"/>
      <c r="I547" s="6"/>
      <c r="J547" s="6"/>
      <c r="K547" s="79"/>
      <c r="N547" s="79"/>
      <c r="Q547" s="67"/>
    </row>
    <row r="548" spans="1:17" ht="15.6">
      <c r="A548" s="67"/>
      <c r="B548" s="68"/>
      <c r="C548" s="40"/>
      <c r="D548" s="40"/>
      <c r="E548" s="40"/>
      <c r="F548" s="77"/>
      <c r="G548" s="77"/>
      <c r="H548" s="78"/>
      <c r="I548" s="6"/>
      <c r="J548" s="6"/>
      <c r="K548" s="79"/>
      <c r="N548" s="79"/>
      <c r="Q548" s="67"/>
    </row>
    <row r="549" spans="1:17" ht="15.6">
      <c r="A549" s="67"/>
      <c r="B549" s="68"/>
      <c r="C549" s="40"/>
      <c r="D549" s="40"/>
      <c r="E549" s="40"/>
      <c r="F549" s="77"/>
      <c r="G549" s="77"/>
      <c r="H549" s="78"/>
      <c r="I549" s="6"/>
      <c r="J549" s="6"/>
      <c r="K549" s="79"/>
      <c r="N549" s="79"/>
      <c r="Q549" s="67"/>
    </row>
    <row r="550" spans="1:17" ht="15.6">
      <c r="A550" s="67"/>
      <c r="B550" s="68"/>
      <c r="C550" s="40"/>
      <c r="D550" s="40"/>
      <c r="E550" s="40"/>
      <c r="F550" s="77"/>
      <c r="G550" s="77"/>
      <c r="H550" s="78"/>
      <c r="I550" s="6"/>
      <c r="J550" s="6"/>
      <c r="K550" s="79"/>
      <c r="N550" s="79"/>
      <c r="Q550" s="67"/>
    </row>
    <row r="551" spans="1:17" ht="15.6">
      <c r="A551" s="67"/>
      <c r="B551" s="68"/>
      <c r="C551" s="40"/>
      <c r="D551" s="40"/>
      <c r="E551" s="40"/>
      <c r="F551" s="77"/>
      <c r="G551" s="77"/>
      <c r="H551" s="78"/>
      <c r="I551" s="6"/>
      <c r="J551" s="6"/>
      <c r="K551" s="79"/>
      <c r="N551" s="79"/>
      <c r="Q551" s="67"/>
    </row>
    <row r="552" spans="1:17" ht="15.6">
      <c r="A552" s="67"/>
      <c r="B552" s="68"/>
      <c r="C552" s="40"/>
      <c r="D552" s="40"/>
      <c r="E552" s="40"/>
      <c r="F552" s="77"/>
      <c r="G552" s="77"/>
      <c r="H552" s="78"/>
      <c r="I552" s="6"/>
      <c r="J552" s="6"/>
      <c r="K552" s="79"/>
      <c r="N552" s="79"/>
      <c r="Q552" s="67"/>
    </row>
    <row r="553" spans="1:17" ht="15.6">
      <c r="A553" s="67"/>
      <c r="B553" s="68"/>
      <c r="C553" s="40"/>
      <c r="D553" s="40"/>
      <c r="E553" s="40"/>
      <c r="F553" s="77"/>
      <c r="G553" s="77"/>
      <c r="H553" s="78"/>
      <c r="I553" s="6"/>
      <c r="J553" s="6"/>
      <c r="K553" s="79"/>
      <c r="N553" s="79"/>
      <c r="Q553" s="67"/>
    </row>
    <row r="554" spans="1:17" ht="15.6">
      <c r="A554" s="67"/>
      <c r="B554" s="68"/>
      <c r="C554" s="40"/>
      <c r="D554" s="40"/>
      <c r="E554" s="40"/>
      <c r="F554" s="77"/>
      <c r="G554" s="77"/>
      <c r="H554" s="78"/>
      <c r="I554" s="6"/>
      <c r="J554" s="6"/>
      <c r="K554" s="79"/>
      <c r="N554" s="79"/>
      <c r="Q554" s="67"/>
    </row>
    <row r="555" spans="1:17" ht="15.6">
      <c r="A555" s="67"/>
      <c r="B555" s="68"/>
      <c r="C555" s="40"/>
      <c r="D555" s="40"/>
      <c r="E555" s="40"/>
      <c r="F555" s="77"/>
      <c r="G555" s="77"/>
      <c r="H555" s="78"/>
      <c r="I555" s="6"/>
      <c r="J555" s="6"/>
      <c r="K555" s="79"/>
      <c r="N555" s="79"/>
      <c r="Q555" s="67"/>
    </row>
    <row r="556" spans="1:17" ht="15.6">
      <c r="A556" s="67"/>
      <c r="B556" s="68"/>
      <c r="C556" s="40"/>
      <c r="D556" s="40"/>
      <c r="E556" s="40"/>
      <c r="F556" s="77"/>
      <c r="G556" s="77"/>
      <c r="H556" s="78"/>
      <c r="I556" s="6"/>
      <c r="J556" s="6"/>
      <c r="K556" s="79"/>
      <c r="N556" s="79"/>
      <c r="Q556" s="67"/>
    </row>
    <row r="557" spans="1:17" ht="15.6">
      <c r="A557" s="67"/>
      <c r="B557" s="68"/>
      <c r="C557" s="40"/>
      <c r="D557" s="40"/>
      <c r="E557" s="40"/>
      <c r="F557" s="77"/>
      <c r="G557" s="77"/>
      <c r="H557" s="78"/>
      <c r="I557" s="6"/>
      <c r="J557" s="6"/>
      <c r="K557" s="79"/>
      <c r="N557" s="79"/>
      <c r="Q557" s="67"/>
    </row>
    <row r="558" spans="1:17" ht="15.6">
      <c r="A558" s="67"/>
      <c r="B558" s="68"/>
      <c r="C558" s="40"/>
      <c r="D558" s="40"/>
      <c r="E558" s="40"/>
      <c r="F558" s="77"/>
      <c r="G558" s="77"/>
      <c r="H558" s="78"/>
      <c r="I558" s="6"/>
      <c r="J558" s="6"/>
      <c r="K558" s="79"/>
      <c r="N558" s="79"/>
      <c r="Q558" s="67"/>
    </row>
    <row r="559" spans="1:17" ht="15.6">
      <c r="A559" s="67"/>
      <c r="B559" s="68"/>
      <c r="C559" s="40"/>
      <c r="D559" s="40"/>
      <c r="E559" s="40"/>
      <c r="F559" s="77"/>
      <c r="G559" s="77"/>
      <c r="H559" s="78"/>
      <c r="I559" s="6"/>
      <c r="J559" s="6"/>
      <c r="K559" s="79"/>
      <c r="N559" s="79"/>
      <c r="Q559" s="67"/>
    </row>
    <row r="560" spans="1:17" ht="15.6">
      <c r="A560" s="67"/>
      <c r="B560" s="68"/>
      <c r="C560" s="40"/>
      <c r="D560" s="40"/>
      <c r="E560" s="40"/>
      <c r="F560" s="77"/>
      <c r="G560" s="77"/>
      <c r="H560" s="78"/>
      <c r="I560" s="6"/>
      <c r="J560" s="6"/>
      <c r="K560" s="79"/>
      <c r="N560" s="79"/>
      <c r="Q560" s="67"/>
    </row>
    <row r="561" spans="1:17" ht="15.6">
      <c r="A561" s="67"/>
      <c r="B561" s="68"/>
      <c r="C561" s="40"/>
      <c r="D561" s="40"/>
      <c r="E561" s="40"/>
      <c r="F561" s="77"/>
      <c r="G561" s="77"/>
      <c r="H561" s="78"/>
      <c r="I561" s="6"/>
      <c r="J561" s="6"/>
      <c r="K561" s="79"/>
      <c r="N561" s="79"/>
      <c r="Q561" s="67"/>
    </row>
    <row r="562" spans="1:17" ht="15.6">
      <c r="A562" s="67"/>
      <c r="B562" s="68"/>
      <c r="C562" s="40"/>
      <c r="D562" s="40"/>
      <c r="E562" s="40"/>
      <c r="F562" s="77"/>
      <c r="G562" s="77"/>
      <c r="H562" s="78"/>
      <c r="I562" s="6"/>
      <c r="J562" s="6"/>
      <c r="K562" s="79"/>
      <c r="N562" s="79"/>
      <c r="Q562" s="67"/>
    </row>
    <row r="563" spans="1:17" ht="15.6">
      <c r="A563" s="67"/>
      <c r="B563" s="68"/>
      <c r="C563" s="40"/>
      <c r="D563" s="40"/>
      <c r="E563" s="40"/>
      <c r="F563" s="77"/>
      <c r="G563" s="77"/>
      <c r="H563" s="78"/>
      <c r="I563" s="6"/>
      <c r="J563" s="6"/>
      <c r="K563" s="79"/>
      <c r="N563" s="79"/>
      <c r="Q563" s="67"/>
    </row>
    <row r="564" spans="1:17" ht="15.6">
      <c r="A564" s="67"/>
      <c r="B564" s="68"/>
      <c r="C564" s="40"/>
      <c r="D564" s="40"/>
      <c r="E564" s="40"/>
      <c r="F564" s="77"/>
      <c r="G564" s="77"/>
      <c r="H564" s="78"/>
      <c r="I564" s="6"/>
      <c r="J564" s="6"/>
      <c r="K564" s="79"/>
      <c r="N564" s="79"/>
      <c r="Q564" s="67"/>
    </row>
    <row r="565" spans="1:17" ht="15.6">
      <c r="A565" s="67"/>
      <c r="B565" s="68"/>
      <c r="C565" s="40"/>
      <c r="D565" s="40"/>
      <c r="E565" s="40"/>
      <c r="F565" s="77"/>
      <c r="G565" s="77"/>
      <c r="H565" s="78"/>
      <c r="I565" s="6"/>
      <c r="J565" s="6"/>
      <c r="K565" s="79"/>
      <c r="N565" s="79"/>
      <c r="Q565" s="67"/>
    </row>
    <row r="566" spans="1:17" ht="15.6">
      <c r="A566" s="67"/>
      <c r="B566" s="68"/>
      <c r="C566" s="40"/>
      <c r="D566" s="40"/>
      <c r="E566" s="40"/>
      <c r="F566" s="77"/>
      <c r="G566" s="77"/>
      <c r="H566" s="78"/>
      <c r="I566" s="6"/>
      <c r="J566" s="6"/>
      <c r="K566" s="79"/>
      <c r="N566" s="79"/>
      <c r="Q566" s="67"/>
    </row>
    <row r="567" spans="1:17" ht="15.6">
      <c r="A567" s="67"/>
      <c r="B567" s="68"/>
      <c r="C567" s="40"/>
      <c r="D567" s="40"/>
      <c r="E567" s="40"/>
      <c r="F567" s="77"/>
      <c r="G567" s="77"/>
      <c r="H567" s="78"/>
      <c r="I567" s="6"/>
      <c r="J567" s="6"/>
      <c r="K567" s="79"/>
      <c r="N567" s="79"/>
      <c r="Q567" s="67"/>
    </row>
    <row r="568" spans="1:17" ht="15.6">
      <c r="A568" s="67"/>
      <c r="B568" s="68"/>
      <c r="C568" s="40"/>
      <c r="D568" s="40"/>
      <c r="E568" s="40"/>
      <c r="F568" s="77"/>
      <c r="G568" s="77"/>
      <c r="H568" s="78"/>
      <c r="I568" s="6"/>
      <c r="J568" s="6"/>
      <c r="K568" s="79"/>
      <c r="N568" s="79"/>
      <c r="Q568" s="67"/>
    </row>
    <row r="569" spans="1:17" ht="15.6">
      <c r="A569" s="67"/>
      <c r="B569" s="68"/>
      <c r="C569" s="40"/>
      <c r="D569" s="40"/>
      <c r="E569" s="40"/>
      <c r="F569" s="77"/>
      <c r="G569" s="77"/>
      <c r="H569" s="78"/>
      <c r="I569" s="6"/>
      <c r="J569" s="6"/>
      <c r="K569" s="79"/>
      <c r="N569" s="79"/>
      <c r="Q569" s="67"/>
    </row>
    <row r="570" spans="1:17" ht="15.6">
      <c r="A570" s="67"/>
      <c r="B570" s="68"/>
      <c r="C570" s="40"/>
      <c r="D570" s="40"/>
      <c r="E570" s="40"/>
      <c r="F570" s="77"/>
      <c r="G570" s="77"/>
      <c r="H570" s="78"/>
      <c r="I570" s="6"/>
      <c r="J570" s="6"/>
      <c r="K570" s="79"/>
      <c r="N570" s="79"/>
      <c r="Q570" s="67"/>
    </row>
    <row r="571" spans="1:17" ht="15.6">
      <c r="A571" s="67"/>
      <c r="B571" s="68"/>
      <c r="C571" s="40"/>
      <c r="D571" s="40"/>
      <c r="E571" s="40"/>
      <c r="F571" s="77"/>
      <c r="G571" s="77"/>
      <c r="H571" s="78"/>
      <c r="I571" s="6"/>
      <c r="J571" s="6"/>
      <c r="K571" s="79"/>
      <c r="N571" s="79"/>
      <c r="Q571" s="67"/>
    </row>
    <row r="572" spans="1:17" ht="15.6">
      <c r="A572" s="67"/>
      <c r="B572" s="68"/>
      <c r="C572" s="40"/>
      <c r="D572" s="40"/>
      <c r="E572" s="40"/>
      <c r="F572" s="77"/>
      <c r="G572" s="77"/>
      <c r="H572" s="78"/>
      <c r="I572" s="6"/>
      <c r="J572" s="6"/>
      <c r="K572" s="79"/>
      <c r="N572" s="79"/>
      <c r="Q572" s="67"/>
    </row>
    <row r="573" spans="1:17" ht="15.6">
      <c r="A573" s="67"/>
      <c r="B573" s="68"/>
      <c r="C573" s="40"/>
      <c r="D573" s="40"/>
      <c r="E573" s="40"/>
      <c r="F573" s="77"/>
      <c r="G573" s="77"/>
      <c r="H573" s="78"/>
      <c r="I573" s="6"/>
      <c r="J573" s="6"/>
      <c r="K573" s="79"/>
      <c r="N573" s="79"/>
      <c r="Q573" s="67"/>
    </row>
    <row r="574" spans="1:17" ht="15.6">
      <c r="A574" s="67"/>
      <c r="B574" s="68"/>
      <c r="C574" s="40"/>
      <c r="D574" s="40"/>
      <c r="E574" s="40"/>
      <c r="F574" s="77"/>
      <c r="G574" s="77"/>
      <c r="H574" s="78"/>
      <c r="I574" s="6"/>
      <c r="J574" s="6"/>
      <c r="K574" s="79"/>
      <c r="N574" s="79"/>
      <c r="Q574" s="67"/>
    </row>
    <row r="575" spans="1:17" ht="15.6">
      <c r="A575" s="67"/>
      <c r="B575" s="68"/>
      <c r="C575" s="40"/>
      <c r="D575" s="40"/>
      <c r="E575" s="40"/>
      <c r="F575" s="77"/>
      <c r="G575" s="77"/>
      <c r="H575" s="78"/>
      <c r="I575" s="6"/>
      <c r="J575" s="6"/>
      <c r="K575" s="79"/>
      <c r="N575" s="79"/>
      <c r="Q575" s="67"/>
    </row>
    <row r="576" spans="1:17" ht="15.6">
      <c r="A576" s="67"/>
      <c r="B576" s="68"/>
      <c r="C576" s="40"/>
      <c r="D576" s="40"/>
      <c r="E576" s="40"/>
      <c r="F576" s="77"/>
      <c r="G576" s="77"/>
      <c r="H576" s="78"/>
      <c r="I576" s="6"/>
      <c r="J576" s="6"/>
      <c r="K576" s="79"/>
      <c r="N576" s="79"/>
      <c r="Q576" s="67"/>
    </row>
    <row r="577" spans="1:17" ht="15.6">
      <c r="A577" s="67"/>
      <c r="B577" s="68"/>
      <c r="C577" s="40"/>
      <c r="D577" s="40"/>
      <c r="E577" s="40"/>
      <c r="F577" s="77"/>
      <c r="G577" s="77"/>
      <c r="H577" s="78"/>
      <c r="I577" s="6"/>
      <c r="J577" s="6"/>
      <c r="K577" s="79"/>
      <c r="N577" s="79"/>
      <c r="Q577" s="67"/>
    </row>
    <row r="578" spans="1:17" ht="15.6">
      <c r="A578" s="67"/>
      <c r="B578" s="68"/>
      <c r="C578" s="40"/>
      <c r="D578" s="40"/>
      <c r="E578" s="40"/>
      <c r="F578" s="77"/>
      <c r="G578" s="77"/>
      <c r="H578" s="78"/>
      <c r="I578" s="6"/>
      <c r="J578" s="6"/>
      <c r="K578" s="79"/>
      <c r="N578" s="79"/>
      <c r="Q578" s="67"/>
    </row>
    <row r="579" spans="1:17" ht="15.6">
      <c r="A579" s="67"/>
      <c r="B579" s="68"/>
      <c r="C579" s="40"/>
      <c r="D579" s="40"/>
      <c r="E579" s="40"/>
      <c r="F579" s="77"/>
      <c r="G579" s="77"/>
      <c r="H579" s="78"/>
      <c r="I579" s="6"/>
      <c r="J579" s="6"/>
      <c r="K579" s="79"/>
      <c r="N579" s="79"/>
      <c r="Q579" s="67"/>
    </row>
    <row r="580" spans="1:17" ht="15.6">
      <c r="A580" s="67"/>
      <c r="B580" s="68"/>
      <c r="C580" s="40"/>
      <c r="D580" s="40"/>
      <c r="E580" s="40"/>
      <c r="F580" s="77"/>
      <c r="G580" s="77"/>
      <c r="H580" s="78"/>
      <c r="I580" s="6"/>
      <c r="J580" s="6"/>
      <c r="K580" s="79"/>
      <c r="N580" s="79"/>
      <c r="Q580" s="67"/>
    </row>
    <row r="581" spans="1:17" ht="15.6">
      <c r="A581" s="67"/>
      <c r="B581" s="68"/>
      <c r="C581" s="40"/>
      <c r="D581" s="40"/>
      <c r="E581" s="40"/>
      <c r="F581" s="77"/>
      <c r="G581" s="77"/>
      <c r="H581" s="78"/>
      <c r="I581" s="6"/>
      <c r="J581" s="6"/>
      <c r="K581" s="79"/>
      <c r="N581" s="79"/>
      <c r="Q581" s="67"/>
    </row>
    <row r="582" spans="1:17" ht="15.6">
      <c r="A582" s="67"/>
      <c r="B582" s="68"/>
      <c r="C582" s="40"/>
      <c r="D582" s="40"/>
      <c r="E582" s="40"/>
      <c r="F582" s="77"/>
      <c r="G582" s="77"/>
      <c r="H582" s="78"/>
      <c r="I582" s="6"/>
      <c r="J582" s="6"/>
      <c r="K582" s="79"/>
      <c r="N582" s="79"/>
      <c r="Q582" s="67"/>
    </row>
    <row r="583" spans="1:17" ht="15.6">
      <c r="A583" s="67"/>
      <c r="B583" s="68"/>
      <c r="C583" s="40"/>
      <c r="D583" s="40"/>
      <c r="E583" s="40"/>
      <c r="F583" s="77"/>
      <c r="G583" s="77"/>
      <c r="H583" s="78"/>
      <c r="I583" s="6"/>
      <c r="J583" s="6"/>
      <c r="K583" s="79"/>
      <c r="N583" s="79"/>
      <c r="Q583" s="67"/>
    </row>
    <row r="584" spans="1:17" ht="15.6">
      <c r="A584" s="67"/>
      <c r="B584" s="68"/>
      <c r="C584" s="40"/>
      <c r="D584" s="40"/>
      <c r="E584" s="40"/>
      <c r="F584" s="77"/>
      <c r="G584" s="77"/>
      <c r="H584" s="78"/>
      <c r="I584" s="6"/>
      <c r="J584" s="6"/>
      <c r="K584" s="79"/>
      <c r="N584" s="79"/>
      <c r="Q584" s="67"/>
    </row>
    <row r="585" spans="1:17" ht="15.6">
      <c r="A585" s="67"/>
      <c r="B585" s="68"/>
      <c r="C585" s="40"/>
      <c r="D585" s="40"/>
      <c r="E585" s="40"/>
      <c r="F585" s="77"/>
      <c r="G585" s="77"/>
      <c r="H585" s="78"/>
      <c r="I585" s="6"/>
      <c r="J585" s="6"/>
      <c r="K585" s="79"/>
      <c r="N585" s="79"/>
      <c r="Q585" s="67"/>
    </row>
    <row r="586" spans="1:17" ht="15.6">
      <c r="A586" s="67"/>
      <c r="B586" s="68"/>
      <c r="C586" s="40"/>
      <c r="D586" s="40"/>
      <c r="E586" s="40"/>
      <c r="F586" s="77"/>
      <c r="G586" s="77"/>
      <c r="H586" s="78"/>
      <c r="I586" s="6"/>
      <c r="J586" s="6"/>
      <c r="K586" s="79"/>
      <c r="N586" s="79"/>
      <c r="Q586" s="67"/>
    </row>
    <row r="587" spans="1:17" ht="15.6">
      <c r="A587" s="67"/>
      <c r="B587" s="68"/>
      <c r="C587" s="40"/>
      <c r="D587" s="40"/>
      <c r="E587" s="40"/>
      <c r="F587" s="77"/>
      <c r="G587" s="77"/>
      <c r="H587" s="78"/>
      <c r="I587" s="6"/>
      <c r="J587" s="6"/>
      <c r="K587" s="79"/>
      <c r="N587" s="79"/>
      <c r="Q587" s="67"/>
    </row>
    <row r="588" spans="1:17" ht="15.6">
      <c r="A588" s="67"/>
      <c r="B588" s="68"/>
      <c r="C588" s="40"/>
      <c r="D588" s="40"/>
      <c r="E588" s="40"/>
      <c r="F588" s="77"/>
      <c r="G588" s="77"/>
      <c r="H588" s="78"/>
      <c r="I588" s="6"/>
      <c r="J588" s="6"/>
      <c r="K588" s="79"/>
      <c r="N588" s="79"/>
      <c r="Q588" s="67"/>
    </row>
    <row r="589" spans="1:17" ht="15.6">
      <c r="A589" s="67"/>
      <c r="B589" s="68"/>
      <c r="C589" s="40"/>
      <c r="D589" s="40"/>
      <c r="E589" s="40"/>
      <c r="F589" s="77"/>
      <c r="G589" s="77"/>
      <c r="H589" s="78"/>
      <c r="I589" s="6"/>
      <c r="J589" s="6"/>
      <c r="K589" s="79"/>
      <c r="N589" s="79"/>
      <c r="Q589" s="67"/>
    </row>
    <row r="590" spans="1:17" ht="15.6">
      <c r="A590" s="67"/>
      <c r="B590" s="68"/>
      <c r="C590" s="40"/>
      <c r="D590" s="40"/>
      <c r="E590" s="40"/>
      <c r="F590" s="77"/>
      <c r="G590" s="77"/>
      <c r="H590" s="78"/>
      <c r="I590" s="6"/>
      <c r="J590" s="6"/>
      <c r="K590" s="79"/>
      <c r="N590" s="79"/>
      <c r="Q590" s="67"/>
    </row>
    <row r="591" spans="1:17" ht="15.6">
      <c r="A591" s="67"/>
      <c r="B591" s="68"/>
      <c r="C591" s="40"/>
      <c r="D591" s="40"/>
      <c r="E591" s="40"/>
      <c r="F591" s="77"/>
      <c r="G591" s="77"/>
      <c r="H591" s="78"/>
      <c r="I591" s="6"/>
      <c r="J591" s="6"/>
      <c r="K591" s="79"/>
      <c r="N591" s="79"/>
      <c r="Q591" s="67"/>
    </row>
    <row r="592" spans="1:17" ht="15.6">
      <c r="A592" s="67"/>
      <c r="B592" s="68"/>
      <c r="C592" s="40"/>
      <c r="D592" s="40"/>
      <c r="E592" s="40"/>
      <c r="F592" s="77"/>
      <c r="G592" s="77"/>
      <c r="H592" s="78"/>
      <c r="I592" s="6"/>
      <c r="J592" s="6"/>
      <c r="K592" s="79"/>
      <c r="N592" s="79"/>
      <c r="Q592" s="67"/>
    </row>
    <row r="593" spans="1:17" ht="15.6">
      <c r="A593" s="67"/>
      <c r="B593" s="68"/>
      <c r="C593" s="40"/>
      <c r="D593" s="40"/>
      <c r="E593" s="40"/>
      <c r="F593" s="77"/>
      <c r="G593" s="77"/>
      <c r="H593" s="78"/>
      <c r="I593" s="6"/>
      <c r="J593" s="6"/>
      <c r="K593" s="79"/>
      <c r="N593" s="79"/>
      <c r="Q593" s="67"/>
    </row>
    <row r="594" spans="1:17" ht="15.6">
      <c r="A594" s="67"/>
      <c r="B594" s="68"/>
      <c r="C594" s="40"/>
      <c r="D594" s="40"/>
      <c r="E594" s="40"/>
      <c r="F594" s="77"/>
      <c r="G594" s="77"/>
      <c r="H594" s="78"/>
      <c r="I594" s="6"/>
      <c r="J594" s="6"/>
      <c r="K594" s="79"/>
      <c r="N594" s="79"/>
      <c r="Q594" s="67"/>
    </row>
    <row r="595" spans="1:17" ht="15.6">
      <c r="A595" s="67"/>
      <c r="B595" s="68"/>
      <c r="C595" s="40"/>
      <c r="D595" s="40"/>
      <c r="E595" s="40"/>
      <c r="F595" s="77"/>
      <c r="G595" s="77"/>
      <c r="H595" s="78"/>
      <c r="I595" s="6"/>
      <c r="J595" s="6"/>
      <c r="K595" s="79"/>
      <c r="N595" s="79"/>
      <c r="Q595" s="67"/>
    </row>
    <row r="596" spans="1:17" ht="15.6">
      <c r="A596" s="67"/>
      <c r="B596" s="68"/>
      <c r="C596" s="40"/>
      <c r="D596" s="40"/>
      <c r="E596" s="40"/>
      <c r="F596" s="77"/>
      <c r="G596" s="77"/>
      <c r="H596" s="78"/>
      <c r="I596" s="6"/>
      <c r="J596" s="6"/>
      <c r="K596" s="79"/>
      <c r="N596" s="79"/>
      <c r="Q596" s="67"/>
    </row>
    <row r="597" spans="1:17" ht="15.6">
      <c r="A597" s="67"/>
      <c r="B597" s="68"/>
      <c r="C597" s="40"/>
      <c r="D597" s="40"/>
      <c r="E597" s="40"/>
      <c r="F597" s="77"/>
      <c r="G597" s="77"/>
      <c r="H597" s="78"/>
      <c r="I597" s="6"/>
      <c r="J597" s="6"/>
      <c r="K597" s="79"/>
      <c r="N597" s="79"/>
      <c r="Q597" s="67"/>
    </row>
    <row r="598" spans="1:17" ht="15.6">
      <c r="A598" s="67"/>
      <c r="B598" s="68"/>
      <c r="C598" s="40"/>
      <c r="D598" s="40"/>
      <c r="E598" s="40"/>
      <c r="F598" s="77"/>
      <c r="G598" s="77"/>
      <c r="H598" s="78"/>
      <c r="I598" s="6"/>
      <c r="J598" s="6"/>
      <c r="K598" s="79"/>
      <c r="N598" s="79"/>
      <c r="Q598" s="67"/>
    </row>
    <row r="599" spans="1:17" ht="15.6">
      <c r="A599" s="67"/>
      <c r="B599" s="68"/>
      <c r="C599" s="40"/>
      <c r="D599" s="40"/>
      <c r="E599" s="40"/>
      <c r="F599" s="77"/>
      <c r="G599" s="77"/>
      <c r="H599" s="78"/>
      <c r="I599" s="6"/>
      <c r="J599" s="6"/>
      <c r="K599" s="79"/>
      <c r="N599" s="79"/>
      <c r="Q599" s="67"/>
    </row>
    <row r="600" spans="1:17" ht="15.6">
      <c r="A600" s="67"/>
      <c r="B600" s="68"/>
      <c r="C600" s="40"/>
      <c r="D600" s="40"/>
      <c r="E600" s="40"/>
      <c r="F600" s="77"/>
      <c r="G600" s="77"/>
      <c r="H600" s="78"/>
      <c r="I600" s="6"/>
      <c r="J600" s="6"/>
      <c r="K600" s="79"/>
      <c r="N600" s="79"/>
      <c r="Q600" s="67"/>
    </row>
    <row r="601" spans="1:17" ht="15.6">
      <c r="A601" s="67"/>
      <c r="B601" s="68"/>
      <c r="C601" s="40"/>
      <c r="D601" s="40"/>
      <c r="E601" s="40"/>
      <c r="F601" s="77"/>
      <c r="G601" s="77"/>
      <c r="H601" s="78"/>
      <c r="I601" s="6"/>
      <c r="J601" s="6"/>
      <c r="K601" s="79"/>
      <c r="N601" s="79"/>
      <c r="Q601" s="67"/>
    </row>
    <row r="602" spans="1:17" ht="15.6">
      <c r="A602" s="67"/>
      <c r="B602" s="68"/>
      <c r="C602" s="40"/>
      <c r="D602" s="40"/>
      <c r="E602" s="40"/>
      <c r="F602" s="77"/>
      <c r="G602" s="77"/>
      <c r="H602" s="78"/>
      <c r="I602" s="6"/>
      <c r="J602" s="6"/>
      <c r="K602" s="79"/>
      <c r="N602" s="79"/>
      <c r="Q602" s="67"/>
    </row>
    <row r="603" spans="1:17" ht="15.6">
      <c r="A603" s="67"/>
      <c r="B603" s="68"/>
      <c r="C603" s="40"/>
      <c r="D603" s="40"/>
      <c r="E603" s="40"/>
      <c r="F603" s="77"/>
      <c r="G603" s="77"/>
      <c r="H603" s="78"/>
      <c r="I603" s="6"/>
      <c r="J603" s="6"/>
      <c r="K603" s="79"/>
      <c r="N603" s="79"/>
      <c r="Q603" s="67"/>
    </row>
    <row r="604" spans="1:17" ht="15.6">
      <c r="A604" s="67"/>
      <c r="B604" s="68"/>
      <c r="C604" s="40"/>
      <c r="D604" s="40"/>
      <c r="E604" s="40"/>
      <c r="F604" s="77"/>
      <c r="G604" s="77"/>
      <c r="H604" s="78"/>
      <c r="I604" s="6"/>
      <c r="J604" s="6"/>
      <c r="K604" s="79"/>
      <c r="N604" s="79"/>
      <c r="Q604" s="67"/>
    </row>
    <row r="605" spans="1:17" ht="15.6">
      <c r="A605" s="67"/>
      <c r="B605" s="68"/>
      <c r="C605" s="40"/>
      <c r="D605" s="40"/>
      <c r="E605" s="40"/>
      <c r="F605" s="77"/>
      <c r="G605" s="77"/>
      <c r="H605" s="78"/>
      <c r="I605" s="6"/>
      <c r="J605" s="6"/>
      <c r="K605" s="79"/>
      <c r="N605" s="79"/>
      <c r="Q605" s="67"/>
    </row>
    <row r="606" spans="1:17" ht="15.6">
      <c r="A606" s="67"/>
      <c r="B606" s="68"/>
      <c r="C606" s="40"/>
      <c r="D606" s="40"/>
      <c r="E606" s="40"/>
      <c r="F606" s="77"/>
      <c r="G606" s="77"/>
      <c r="H606" s="78"/>
      <c r="I606" s="6"/>
      <c r="J606" s="6"/>
      <c r="K606" s="79"/>
      <c r="N606" s="79"/>
      <c r="Q606" s="67"/>
    </row>
    <row r="607" spans="1:17" ht="15.6">
      <c r="A607" s="67"/>
      <c r="B607" s="68"/>
      <c r="C607" s="40"/>
      <c r="D607" s="40"/>
      <c r="E607" s="40"/>
      <c r="F607" s="77"/>
      <c r="G607" s="77"/>
      <c r="H607" s="78"/>
      <c r="I607" s="6"/>
      <c r="J607" s="6"/>
      <c r="K607" s="79"/>
      <c r="N607" s="79"/>
      <c r="Q607" s="67"/>
    </row>
    <row r="608" spans="1:17" ht="15.6">
      <c r="A608" s="67"/>
      <c r="B608" s="68"/>
      <c r="C608" s="40"/>
      <c r="D608" s="40"/>
      <c r="E608" s="40"/>
      <c r="F608" s="77"/>
      <c r="G608" s="77"/>
      <c r="H608" s="78"/>
      <c r="I608" s="6"/>
      <c r="J608" s="6"/>
      <c r="K608" s="79"/>
      <c r="N608" s="79"/>
      <c r="Q608" s="67"/>
    </row>
    <row r="609" spans="1:17" ht="15.6">
      <c r="A609" s="67"/>
      <c r="B609" s="68"/>
      <c r="C609" s="40"/>
      <c r="D609" s="40"/>
      <c r="E609" s="40"/>
      <c r="F609" s="77"/>
      <c r="G609" s="77"/>
      <c r="H609" s="78"/>
      <c r="I609" s="6"/>
      <c r="J609" s="6"/>
      <c r="K609" s="79"/>
      <c r="N609" s="79"/>
      <c r="Q609" s="67"/>
    </row>
    <row r="610" spans="1:17" ht="15.6">
      <c r="A610" s="67"/>
      <c r="B610" s="68"/>
      <c r="C610" s="40"/>
      <c r="D610" s="40"/>
      <c r="E610" s="40"/>
      <c r="F610" s="77"/>
      <c r="G610" s="77"/>
      <c r="H610" s="78"/>
      <c r="I610" s="6"/>
      <c r="J610" s="6"/>
      <c r="K610" s="79"/>
      <c r="N610" s="79"/>
      <c r="Q610" s="67"/>
    </row>
    <row r="611" spans="1:17" ht="15.6">
      <c r="A611" s="67"/>
      <c r="B611" s="68"/>
      <c r="C611" s="40"/>
      <c r="D611" s="40"/>
      <c r="E611" s="40"/>
      <c r="F611" s="77"/>
      <c r="G611" s="77"/>
      <c r="H611" s="78"/>
      <c r="I611" s="6"/>
      <c r="J611" s="6"/>
      <c r="K611" s="79"/>
      <c r="N611" s="79"/>
      <c r="Q611" s="67"/>
    </row>
    <row r="612" spans="1:17" ht="15.6">
      <c r="A612" s="67"/>
      <c r="B612" s="68"/>
      <c r="C612" s="40"/>
      <c r="D612" s="40"/>
      <c r="E612" s="40"/>
      <c r="F612" s="77"/>
      <c r="G612" s="77"/>
      <c r="H612" s="78"/>
      <c r="I612" s="6"/>
      <c r="J612" s="6"/>
      <c r="K612" s="79"/>
      <c r="N612" s="79"/>
      <c r="Q612" s="67"/>
    </row>
    <row r="613" spans="1:17" ht="15.6">
      <c r="A613" s="67"/>
      <c r="B613" s="68"/>
      <c r="C613" s="40"/>
      <c r="D613" s="40"/>
      <c r="E613" s="40"/>
      <c r="F613" s="77"/>
      <c r="G613" s="77"/>
      <c r="H613" s="78"/>
      <c r="I613" s="6"/>
      <c r="J613" s="6"/>
      <c r="K613" s="79"/>
      <c r="N613" s="79"/>
      <c r="Q613" s="67"/>
    </row>
    <row r="614" spans="1:17" ht="15.6">
      <c r="A614" s="67"/>
      <c r="B614" s="68"/>
      <c r="C614" s="40"/>
      <c r="D614" s="40"/>
      <c r="E614" s="40"/>
      <c r="F614" s="77"/>
      <c r="G614" s="77"/>
      <c r="H614" s="78"/>
      <c r="I614" s="6"/>
      <c r="J614" s="6"/>
      <c r="K614" s="79"/>
      <c r="N614" s="79"/>
      <c r="Q614" s="67"/>
    </row>
    <row r="615" spans="1:17" ht="15.6">
      <c r="A615" s="67"/>
      <c r="B615" s="68"/>
      <c r="C615" s="40"/>
      <c r="D615" s="40"/>
      <c r="E615" s="40"/>
      <c r="F615" s="77"/>
      <c r="G615" s="77"/>
      <c r="H615" s="78"/>
      <c r="I615" s="6"/>
      <c r="J615" s="6"/>
      <c r="K615" s="79"/>
      <c r="N615" s="79"/>
      <c r="Q615" s="67"/>
    </row>
    <row r="616" spans="1:17" ht="15.6">
      <c r="A616" s="67"/>
      <c r="B616" s="68"/>
      <c r="C616" s="40"/>
      <c r="D616" s="40"/>
      <c r="E616" s="40"/>
      <c r="F616" s="77"/>
      <c r="G616" s="77"/>
      <c r="H616" s="78"/>
      <c r="I616" s="6"/>
      <c r="J616" s="6"/>
      <c r="K616" s="79"/>
      <c r="N616" s="79"/>
      <c r="Q616" s="67"/>
    </row>
    <row r="617" spans="1:17" ht="15.6">
      <c r="A617" s="67"/>
      <c r="B617" s="68"/>
      <c r="C617" s="40"/>
      <c r="D617" s="40"/>
      <c r="E617" s="40"/>
      <c r="F617" s="77"/>
      <c r="G617" s="77"/>
      <c r="H617" s="78"/>
      <c r="I617" s="6"/>
      <c r="J617" s="6"/>
      <c r="K617" s="79"/>
      <c r="N617" s="79"/>
      <c r="Q617" s="67"/>
    </row>
    <row r="618" spans="1:17" ht="15.6">
      <c r="A618" s="67"/>
      <c r="B618" s="68"/>
      <c r="C618" s="40"/>
      <c r="D618" s="40"/>
      <c r="E618" s="40"/>
      <c r="F618" s="77"/>
      <c r="G618" s="77"/>
      <c r="H618" s="78"/>
      <c r="I618" s="6"/>
      <c r="J618" s="6"/>
      <c r="K618" s="79"/>
      <c r="N618" s="79"/>
      <c r="Q618" s="67"/>
    </row>
    <row r="619" spans="1:17" ht="15.6">
      <c r="A619" s="67"/>
      <c r="B619" s="68"/>
      <c r="C619" s="40"/>
      <c r="D619" s="40"/>
      <c r="E619" s="40"/>
      <c r="F619" s="77"/>
      <c r="G619" s="77"/>
      <c r="H619" s="78"/>
      <c r="I619" s="6"/>
      <c r="J619" s="6"/>
      <c r="K619" s="79"/>
      <c r="N619" s="79"/>
      <c r="Q619" s="67"/>
    </row>
    <row r="620" spans="1:17" ht="15.6">
      <c r="A620" s="67"/>
      <c r="B620" s="68"/>
      <c r="C620" s="40"/>
      <c r="D620" s="40"/>
      <c r="E620" s="40"/>
      <c r="F620" s="77"/>
      <c r="G620" s="77"/>
      <c r="H620" s="78"/>
      <c r="I620" s="6"/>
      <c r="J620" s="6"/>
      <c r="K620" s="79"/>
      <c r="N620" s="79"/>
      <c r="Q620" s="67"/>
    </row>
    <row r="621" spans="1:17" ht="15.6">
      <c r="A621" s="67"/>
      <c r="B621" s="68"/>
      <c r="C621" s="40"/>
      <c r="D621" s="40"/>
      <c r="E621" s="40"/>
      <c r="F621" s="77"/>
      <c r="G621" s="77"/>
      <c r="H621" s="78"/>
      <c r="I621" s="6"/>
      <c r="J621" s="6"/>
      <c r="K621" s="79"/>
      <c r="N621" s="79"/>
      <c r="Q621" s="67"/>
    </row>
    <row r="622" spans="1:17" ht="15.6">
      <c r="A622" s="67"/>
      <c r="B622" s="68"/>
      <c r="C622" s="40"/>
      <c r="D622" s="40"/>
      <c r="E622" s="40"/>
      <c r="F622" s="77"/>
      <c r="G622" s="77"/>
      <c r="H622" s="78"/>
      <c r="I622" s="6"/>
      <c r="J622" s="6"/>
      <c r="K622" s="79"/>
      <c r="N622" s="79"/>
      <c r="Q622" s="67"/>
    </row>
    <row r="623" spans="1:17" ht="15.6">
      <c r="A623" s="67"/>
      <c r="B623" s="68"/>
      <c r="C623" s="40"/>
      <c r="D623" s="40"/>
      <c r="E623" s="40"/>
      <c r="F623" s="77"/>
      <c r="G623" s="77"/>
      <c r="H623" s="78"/>
      <c r="I623" s="6"/>
      <c r="J623" s="6"/>
      <c r="K623" s="79"/>
      <c r="N623" s="79"/>
      <c r="Q623" s="67"/>
    </row>
    <row r="624" spans="1:17" ht="15.6">
      <c r="A624" s="67"/>
      <c r="B624" s="68"/>
      <c r="C624" s="40"/>
      <c r="D624" s="40"/>
      <c r="E624" s="40"/>
      <c r="F624" s="77"/>
      <c r="G624" s="77"/>
      <c r="H624" s="78"/>
      <c r="I624" s="6"/>
      <c r="J624" s="6"/>
      <c r="K624" s="79"/>
      <c r="N624" s="79"/>
      <c r="Q624" s="67"/>
    </row>
    <row r="625" spans="1:17" ht="15.6">
      <c r="A625" s="67"/>
      <c r="B625" s="68"/>
      <c r="C625" s="40"/>
      <c r="D625" s="40"/>
      <c r="E625" s="40"/>
      <c r="F625" s="77"/>
      <c r="G625" s="77"/>
      <c r="H625" s="78"/>
      <c r="I625" s="6"/>
      <c r="J625" s="6"/>
      <c r="K625" s="79"/>
      <c r="N625" s="79"/>
      <c r="Q625" s="67"/>
    </row>
    <row r="626" spans="1:17" ht="15.6">
      <c r="A626" s="67"/>
      <c r="B626" s="68"/>
      <c r="C626" s="40"/>
      <c r="D626" s="40"/>
      <c r="E626" s="40"/>
      <c r="F626" s="77"/>
      <c r="G626" s="77"/>
      <c r="H626" s="78"/>
      <c r="I626" s="6"/>
      <c r="J626" s="6"/>
      <c r="K626" s="79"/>
      <c r="N626" s="79"/>
      <c r="Q626" s="67"/>
    </row>
    <row r="627" spans="1:17" ht="15.6">
      <c r="A627" s="67"/>
      <c r="B627" s="68"/>
      <c r="C627" s="40"/>
      <c r="D627" s="40"/>
      <c r="E627" s="40"/>
      <c r="F627" s="77"/>
      <c r="G627" s="77"/>
      <c r="H627" s="78"/>
      <c r="I627" s="6"/>
      <c r="J627" s="6"/>
      <c r="K627" s="79"/>
      <c r="N627" s="79"/>
      <c r="Q627" s="67"/>
    </row>
    <row r="628" spans="1:17" ht="15.6">
      <c r="A628" s="67"/>
      <c r="B628" s="68"/>
      <c r="C628" s="40"/>
      <c r="D628" s="40"/>
      <c r="E628" s="40"/>
      <c r="F628" s="77"/>
      <c r="G628" s="77"/>
      <c r="H628" s="78"/>
      <c r="I628" s="6"/>
      <c r="J628" s="6"/>
      <c r="K628" s="79"/>
      <c r="N628" s="79"/>
      <c r="Q628" s="67"/>
    </row>
    <row r="629" spans="1:17" ht="15.6">
      <c r="A629" s="67"/>
      <c r="B629" s="68"/>
      <c r="C629" s="40"/>
      <c r="D629" s="40"/>
      <c r="E629" s="40"/>
      <c r="F629" s="77"/>
      <c r="G629" s="77"/>
      <c r="H629" s="78"/>
      <c r="I629" s="6"/>
      <c r="J629" s="6"/>
      <c r="K629" s="79"/>
      <c r="N629" s="79"/>
      <c r="Q629" s="67"/>
    </row>
    <row r="630" spans="1:17" ht="15.6">
      <c r="A630" s="67"/>
      <c r="B630" s="68"/>
      <c r="C630" s="40"/>
      <c r="D630" s="40"/>
      <c r="E630" s="40"/>
      <c r="F630" s="77"/>
      <c r="G630" s="77"/>
      <c r="H630" s="78"/>
      <c r="I630" s="6"/>
      <c r="J630" s="6"/>
      <c r="K630" s="79"/>
      <c r="N630" s="79"/>
      <c r="Q630" s="67"/>
    </row>
    <row r="631" spans="1:17" ht="15.6">
      <c r="A631" s="67"/>
      <c r="B631" s="68"/>
      <c r="C631" s="40"/>
      <c r="D631" s="40"/>
      <c r="E631" s="40"/>
      <c r="F631" s="77"/>
      <c r="G631" s="77"/>
      <c r="H631" s="78"/>
      <c r="I631" s="6"/>
      <c r="J631" s="6"/>
      <c r="K631" s="79"/>
      <c r="N631" s="79"/>
      <c r="Q631" s="67"/>
    </row>
    <row r="632" spans="1:17" ht="15.6">
      <c r="A632" s="67"/>
      <c r="B632" s="68"/>
      <c r="C632" s="40"/>
      <c r="D632" s="40"/>
      <c r="E632" s="40"/>
      <c r="F632" s="77"/>
      <c r="G632" s="77"/>
      <c r="H632" s="78"/>
      <c r="I632" s="6"/>
      <c r="J632" s="6"/>
      <c r="K632" s="79"/>
      <c r="N632" s="79"/>
      <c r="Q632" s="67"/>
    </row>
    <row r="633" spans="1:17" ht="15.6">
      <c r="A633" s="67"/>
      <c r="B633" s="68"/>
      <c r="C633" s="40"/>
      <c r="D633" s="40"/>
      <c r="E633" s="40"/>
      <c r="F633" s="77"/>
      <c r="G633" s="77"/>
      <c r="H633" s="78"/>
      <c r="I633" s="6"/>
      <c r="J633" s="6"/>
      <c r="K633" s="79"/>
      <c r="N633" s="79"/>
      <c r="Q633" s="67"/>
    </row>
    <row r="634" spans="1:17" ht="15.6">
      <c r="A634" s="67"/>
      <c r="B634" s="68"/>
      <c r="C634" s="40"/>
      <c r="D634" s="40"/>
      <c r="E634" s="40"/>
      <c r="F634" s="77"/>
      <c r="G634" s="77"/>
      <c r="H634" s="78"/>
      <c r="I634" s="6"/>
      <c r="J634" s="6"/>
      <c r="K634" s="79"/>
      <c r="N634" s="79"/>
      <c r="Q634" s="67"/>
    </row>
    <row r="635" spans="1:17" ht="15.6">
      <c r="A635" s="67"/>
      <c r="B635" s="68"/>
      <c r="C635" s="40"/>
      <c r="D635" s="40"/>
      <c r="E635" s="40"/>
      <c r="F635" s="77"/>
      <c r="G635" s="77"/>
      <c r="H635" s="78"/>
      <c r="I635" s="6"/>
      <c r="J635" s="6"/>
      <c r="K635" s="79"/>
      <c r="N635" s="79"/>
      <c r="Q635" s="67"/>
    </row>
    <row r="636" spans="1:17" ht="15.6">
      <c r="A636" s="67"/>
      <c r="B636" s="68"/>
      <c r="C636" s="40"/>
      <c r="D636" s="40"/>
      <c r="E636" s="40"/>
      <c r="F636" s="77"/>
      <c r="G636" s="77"/>
      <c r="H636" s="78"/>
      <c r="I636" s="6"/>
      <c r="J636" s="6"/>
      <c r="K636" s="79"/>
      <c r="N636" s="79"/>
      <c r="Q636" s="67"/>
    </row>
    <row r="637" spans="1:17" ht="15.6">
      <c r="A637" s="67"/>
      <c r="B637" s="68"/>
      <c r="C637" s="40"/>
      <c r="D637" s="40"/>
      <c r="E637" s="40"/>
      <c r="F637" s="77"/>
      <c r="G637" s="77"/>
      <c r="H637" s="78"/>
      <c r="I637" s="6"/>
      <c r="J637" s="6"/>
      <c r="K637" s="79"/>
      <c r="N637" s="79"/>
      <c r="Q637" s="67"/>
    </row>
    <row r="638" spans="1:17" ht="15.6">
      <c r="A638" s="67"/>
      <c r="B638" s="68"/>
      <c r="C638" s="40"/>
      <c r="D638" s="40"/>
      <c r="E638" s="40"/>
      <c r="F638" s="77"/>
      <c r="G638" s="77"/>
      <c r="H638" s="78"/>
      <c r="I638" s="6"/>
      <c r="J638" s="6"/>
      <c r="K638" s="79"/>
      <c r="N638" s="79"/>
      <c r="Q638" s="67"/>
    </row>
    <row r="639" spans="1:17" ht="15.6">
      <c r="A639" s="67"/>
      <c r="B639" s="68"/>
      <c r="C639" s="40"/>
      <c r="D639" s="40"/>
      <c r="E639" s="40"/>
      <c r="F639" s="77"/>
      <c r="G639" s="77"/>
      <c r="H639" s="78"/>
      <c r="I639" s="6"/>
      <c r="J639" s="6"/>
      <c r="K639" s="79"/>
      <c r="N639" s="79"/>
      <c r="Q639" s="67"/>
    </row>
    <row r="640" spans="1:17" ht="15.6">
      <c r="A640" s="67"/>
      <c r="B640" s="68"/>
      <c r="C640" s="40"/>
      <c r="D640" s="40"/>
      <c r="E640" s="40"/>
      <c r="F640" s="77"/>
      <c r="G640" s="77"/>
      <c r="H640" s="78"/>
      <c r="I640" s="6"/>
      <c r="J640" s="6"/>
      <c r="K640" s="79"/>
      <c r="N640" s="79"/>
      <c r="Q640" s="67"/>
    </row>
    <row r="641" spans="1:17" ht="15.6">
      <c r="A641" s="67"/>
      <c r="B641" s="68"/>
      <c r="C641" s="40"/>
      <c r="D641" s="40"/>
      <c r="E641" s="40"/>
      <c r="F641" s="77"/>
      <c r="G641" s="77"/>
      <c r="H641" s="78"/>
      <c r="I641" s="6"/>
      <c r="J641" s="6"/>
      <c r="K641" s="79"/>
      <c r="N641" s="79"/>
      <c r="Q641" s="67"/>
    </row>
    <row r="642" spans="1:17" ht="15.6">
      <c r="A642" s="67"/>
      <c r="B642" s="68"/>
      <c r="C642" s="40"/>
      <c r="D642" s="40"/>
      <c r="E642" s="40"/>
      <c r="F642" s="77"/>
      <c r="G642" s="77"/>
      <c r="H642" s="78"/>
      <c r="I642" s="6"/>
      <c r="J642" s="6"/>
      <c r="K642" s="79"/>
      <c r="N642" s="79"/>
      <c r="Q642" s="67"/>
    </row>
    <row r="643" spans="1:17" ht="15.6">
      <c r="A643" s="67"/>
      <c r="B643" s="68"/>
      <c r="C643" s="40"/>
      <c r="D643" s="40"/>
      <c r="E643" s="40"/>
      <c r="F643" s="77"/>
      <c r="G643" s="77"/>
      <c r="H643" s="78"/>
      <c r="I643" s="6"/>
      <c r="J643" s="6"/>
      <c r="K643" s="79"/>
      <c r="N643" s="79"/>
      <c r="Q643" s="67"/>
    </row>
    <row r="644" spans="1:17" ht="15.6">
      <c r="A644" s="67"/>
      <c r="B644" s="68"/>
      <c r="C644" s="40"/>
      <c r="D644" s="40"/>
      <c r="E644" s="40"/>
      <c r="F644" s="77"/>
      <c r="G644" s="77"/>
      <c r="H644" s="78"/>
      <c r="I644" s="6"/>
      <c r="J644" s="6"/>
      <c r="K644" s="79"/>
      <c r="N644" s="79"/>
      <c r="Q644" s="67"/>
    </row>
    <row r="645" spans="1:17" ht="15.6">
      <c r="A645" s="67"/>
      <c r="B645" s="68"/>
      <c r="C645" s="40"/>
      <c r="D645" s="40"/>
      <c r="E645" s="40"/>
      <c r="F645" s="77"/>
      <c r="G645" s="77"/>
      <c r="H645" s="78"/>
      <c r="I645" s="6"/>
      <c r="J645" s="6"/>
      <c r="K645" s="79"/>
      <c r="N645" s="79"/>
      <c r="Q645" s="67"/>
    </row>
    <row r="646" spans="1:17" ht="15.6">
      <c r="A646" s="67"/>
      <c r="B646" s="68"/>
      <c r="C646" s="40"/>
      <c r="D646" s="40"/>
      <c r="E646" s="40"/>
      <c r="F646" s="77"/>
      <c r="G646" s="77"/>
      <c r="H646" s="78"/>
      <c r="I646" s="6"/>
      <c r="J646" s="6"/>
      <c r="K646" s="79"/>
      <c r="N646" s="79"/>
      <c r="Q646" s="67"/>
    </row>
    <row r="647" spans="1:17" ht="15.6">
      <c r="A647" s="67"/>
      <c r="B647" s="68"/>
      <c r="C647" s="40"/>
      <c r="D647" s="40"/>
      <c r="E647" s="40"/>
      <c r="F647" s="77"/>
      <c r="G647" s="77"/>
      <c r="H647" s="78"/>
      <c r="I647" s="6"/>
      <c r="J647" s="6"/>
      <c r="K647" s="79"/>
      <c r="N647" s="79"/>
      <c r="Q647" s="67"/>
    </row>
    <row r="648" spans="1:17" ht="15.6">
      <c r="A648" s="67"/>
      <c r="B648" s="68"/>
      <c r="C648" s="40"/>
      <c r="D648" s="40"/>
      <c r="E648" s="40"/>
      <c r="F648" s="77"/>
      <c r="G648" s="77"/>
      <c r="H648" s="78"/>
      <c r="I648" s="6"/>
      <c r="J648" s="6"/>
      <c r="K648" s="79"/>
      <c r="N648" s="79"/>
      <c r="Q648" s="67"/>
    </row>
    <row r="649" spans="1:17" ht="15.6">
      <c r="A649" s="67"/>
      <c r="B649" s="68"/>
      <c r="C649" s="40"/>
      <c r="D649" s="40"/>
      <c r="E649" s="40"/>
      <c r="F649" s="77"/>
      <c r="G649" s="77"/>
      <c r="H649" s="78"/>
      <c r="I649" s="6"/>
      <c r="J649" s="6"/>
      <c r="K649" s="79"/>
      <c r="N649" s="79"/>
      <c r="Q649" s="67"/>
    </row>
    <row r="650" spans="1:17" ht="15.6">
      <c r="A650" s="67"/>
      <c r="B650" s="68"/>
      <c r="C650" s="40"/>
      <c r="D650" s="40"/>
      <c r="E650" s="40"/>
      <c r="F650" s="77"/>
      <c r="G650" s="77"/>
      <c r="H650" s="78"/>
      <c r="I650" s="6"/>
      <c r="J650" s="6"/>
      <c r="K650" s="79"/>
      <c r="N650" s="79"/>
      <c r="Q650" s="67"/>
    </row>
    <row r="651" spans="1:17" ht="15.6">
      <c r="A651" s="67"/>
      <c r="B651" s="68"/>
      <c r="C651" s="40"/>
      <c r="D651" s="40"/>
      <c r="E651" s="40"/>
      <c r="F651" s="77"/>
      <c r="G651" s="77"/>
      <c r="H651" s="78"/>
      <c r="I651" s="6"/>
      <c r="J651" s="6"/>
      <c r="K651" s="79"/>
      <c r="N651" s="79"/>
      <c r="Q651" s="67"/>
    </row>
    <row r="652" spans="1:17" ht="15.6">
      <c r="A652" s="67"/>
      <c r="B652" s="68"/>
      <c r="C652" s="40"/>
      <c r="D652" s="40"/>
      <c r="E652" s="40"/>
      <c r="F652" s="77"/>
      <c r="G652" s="77"/>
      <c r="H652" s="78"/>
      <c r="I652" s="6"/>
      <c r="J652" s="6"/>
      <c r="K652" s="79"/>
      <c r="N652" s="79"/>
      <c r="Q652" s="67"/>
    </row>
    <row r="653" spans="1:17" ht="15.6">
      <c r="A653" s="67"/>
      <c r="B653" s="68"/>
      <c r="C653" s="40"/>
      <c r="D653" s="40"/>
      <c r="E653" s="40"/>
      <c r="F653" s="77"/>
      <c r="G653" s="77"/>
      <c r="H653" s="78"/>
      <c r="I653" s="6"/>
      <c r="J653" s="6"/>
      <c r="K653" s="79"/>
      <c r="N653" s="79"/>
      <c r="Q653" s="67"/>
    </row>
    <row r="654" spans="1:17" ht="15.6">
      <c r="A654" s="67"/>
      <c r="B654" s="68"/>
      <c r="C654" s="40"/>
      <c r="D654" s="40"/>
      <c r="E654" s="40"/>
      <c r="F654" s="77"/>
      <c r="G654" s="77"/>
      <c r="H654" s="78"/>
      <c r="I654" s="6"/>
      <c r="J654" s="6"/>
      <c r="K654" s="79"/>
      <c r="N654" s="79"/>
      <c r="Q654" s="67"/>
    </row>
    <row r="655" spans="1:17" ht="15.6">
      <c r="A655" s="67"/>
      <c r="B655" s="68"/>
      <c r="C655" s="40"/>
      <c r="D655" s="40"/>
      <c r="E655" s="40"/>
      <c r="F655" s="77"/>
      <c r="G655" s="77"/>
      <c r="H655" s="78"/>
      <c r="I655" s="6"/>
      <c r="J655" s="6"/>
      <c r="K655" s="79"/>
      <c r="N655" s="79"/>
      <c r="Q655" s="67"/>
    </row>
    <row r="656" spans="1:17" ht="15.6">
      <c r="A656" s="67"/>
      <c r="B656" s="68"/>
      <c r="C656" s="40"/>
      <c r="D656" s="40"/>
      <c r="E656" s="40"/>
      <c r="F656" s="77"/>
      <c r="G656" s="77"/>
      <c r="H656" s="78"/>
      <c r="I656" s="6"/>
      <c r="J656" s="6"/>
      <c r="K656" s="79"/>
      <c r="N656" s="79"/>
      <c r="Q656" s="67"/>
    </row>
    <row r="657" spans="1:17" ht="15.6">
      <c r="A657" s="67"/>
      <c r="B657" s="68"/>
      <c r="C657" s="40"/>
      <c r="D657" s="40"/>
      <c r="E657" s="40"/>
      <c r="F657" s="77"/>
      <c r="G657" s="77"/>
      <c r="H657" s="78"/>
      <c r="I657" s="6"/>
      <c r="J657" s="6"/>
      <c r="K657" s="79"/>
      <c r="N657" s="79"/>
      <c r="Q657" s="67"/>
    </row>
    <row r="658" spans="1:17" ht="15.6">
      <c r="A658" s="67"/>
      <c r="B658" s="68"/>
      <c r="C658" s="40"/>
      <c r="D658" s="40"/>
      <c r="E658" s="40"/>
      <c r="F658" s="77"/>
      <c r="G658" s="77"/>
      <c r="H658" s="78"/>
      <c r="I658" s="6"/>
      <c r="J658" s="6"/>
      <c r="K658" s="79"/>
      <c r="N658" s="79"/>
      <c r="Q658" s="67"/>
    </row>
    <row r="659" spans="1:17" ht="15.6">
      <c r="A659" s="67"/>
      <c r="B659" s="68"/>
      <c r="C659" s="40"/>
      <c r="D659" s="40"/>
      <c r="E659" s="40"/>
      <c r="F659" s="77"/>
      <c r="G659" s="77"/>
      <c r="H659" s="78"/>
      <c r="I659" s="6"/>
      <c r="J659" s="6"/>
      <c r="K659" s="79"/>
      <c r="N659" s="79"/>
      <c r="Q659" s="67"/>
    </row>
    <row r="660" spans="1:17" ht="15.6">
      <c r="A660" s="67"/>
      <c r="B660" s="68"/>
      <c r="C660" s="40"/>
      <c r="D660" s="40"/>
      <c r="E660" s="40"/>
      <c r="F660" s="77"/>
      <c r="G660" s="77"/>
      <c r="H660" s="78"/>
      <c r="I660" s="6"/>
      <c r="J660" s="6"/>
      <c r="K660" s="79"/>
      <c r="N660" s="79"/>
      <c r="Q660" s="67"/>
    </row>
    <row r="661" spans="1:17" ht="15.6">
      <c r="A661" s="67"/>
      <c r="B661" s="68"/>
      <c r="C661" s="40"/>
      <c r="D661" s="40"/>
      <c r="E661" s="40"/>
      <c r="F661" s="77"/>
      <c r="G661" s="77"/>
      <c r="H661" s="78"/>
      <c r="I661" s="6"/>
      <c r="J661" s="6"/>
      <c r="K661" s="79"/>
      <c r="N661" s="79"/>
      <c r="Q661" s="67"/>
    </row>
    <row r="662" spans="1:17" ht="15.6">
      <c r="A662" s="67"/>
      <c r="B662" s="68"/>
      <c r="C662" s="40"/>
      <c r="D662" s="40"/>
      <c r="E662" s="40"/>
      <c r="F662" s="77"/>
      <c r="G662" s="77"/>
      <c r="H662" s="78"/>
      <c r="I662" s="6"/>
      <c r="J662" s="6"/>
      <c r="K662" s="79"/>
      <c r="N662" s="79"/>
      <c r="Q662" s="67"/>
    </row>
    <row r="663" spans="1:17" ht="15.6">
      <c r="A663" s="67"/>
      <c r="B663" s="68"/>
      <c r="C663" s="40"/>
      <c r="D663" s="40"/>
      <c r="E663" s="40"/>
      <c r="F663" s="77"/>
      <c r="G663" s="77"/>
      <c r="H663" s="78"/>
      <c r="I663" s="6"/>
      <c r="J663" s="6"/>
      <c r="K663" s="79"/>
      <c r="N663" s="79"/>
      <c r="Q663" s="67"/>
    </row>
    <row r="664" spans="1:17" ht="15.6">
      <c r="A664" s="67"/>
      <c r="B664" s="68"/>
      <c r="C664" s="40"/>
      <c r="D664" s="40"/>
      <c r="E664" s="40"/>
      <c r="F664" s="77"/>
      <c r="G664" s="77"/>
      <c r="H664" s="78"/>
      <c r="I664" s="6"/>
      <c r="J664" s="6"/>
      <c r="K664" s="79"/>
      <c r="N664" s="79"/>
      <c r="Q664" s="67"/>
    </row>
    <row r="665" spans="1:17" ht="15.6">
      <c r="A665" s="67"/>
      <c r="B665" s="68"/>
      <c r="C665" s="40"/>
      <c r="D665" s="40"/>
      <c r="E665" s="40"/>
      <c r="F665" s="77"/>
      <c r="G665" s="77"/>
      <c r="H665" s="78"/>
      <c r="I665" s="6"/>
      <c r="J665" s="6"/>
      <c r="K665" s="79"/>
      <c r="N665" s="79"/>
      <c r="Q665" s="67"/>
    </row>
    <row r="666" spans="1:17" ht="15.6">
      <c r="A666" s="67"/>
      <c r="B666" s="68"/>
      <c r="C666" s="40"/>
      <c r="D666" s="40"/>
      <c r="E666" s="40"/>
      <c r="F666" s="77"/>
      <c r="G666" s="77"/>
      <c r="H666" s="78"/>
      <c r="I666" s="6"/>
      <c r="J666" s="6"/>
      <c r="K666" s="79"/>
      <c r="N666" s="79"/>
      <c r="Q666" s="67"/>
    </row>
    <row r="667" spans="1:17" ht="15.6">
      <c r="A667" s="67"/>
      <c r="B667" s="68"/>
      <c r="C667" s="40"/>
      <c r="D667" s="40"/>
      <c r="E667" s="40"/>
      <c r="F667" s="77"/>
      <c r="G667" s="77"/>
      <c r="H667" s="78"/>
      <c r="I667" s="6"/>
      <c r="J667" s="6"/>
      <c r="K667" s="79"/>
      <c r="N667" s="79"/>
      <c r="Q667" s="67"/>
    </row>
    <row r="668" spans="1:17" ht="15.6">
      <c r="A668" s="67"/>
      <c r="B668" s="68"/>
      <c r="C668" s="40"/>
      <c r="D668" s="40"/>
      <c r="E668" s="40"/>
      <c r="F668" s="77"/>
      <c r="G668" s="77"/>
      <c r="H668" s="78"/>
      <c r="I668" s="6"/>
      <c r="J668" s="6"/>
      <c r="K668" s="79"/>
      <c r="N668" s="79"/>
      <c r="Q668" s="67"/>
    </row>
    <row r="669" spans="1:17" ht="15.6">
      <c r="A669" s="67"/>
      <c r="B669" s="68"/>
      <c r="C669" s="40"/>
      <c r="D669" s="40"/>
      <c r="E669" s="40"/>
      <c r="F669" s="77"/>
      <c r="G669" s="77"/>
      <c r="H669" s="78"/>
      <c r="I669" s="6"/>
      <c r="J669" s="6"/>
      <c r="K669" s="79"/>
      <c r="N669" s="79"/>
      <c r="Q669" s="67"/>
    </row>
    <row r="670" spans="1:17" ht="15.6">
      <c r="A670" s="67"/>
      <c r="B670" s="68"/>
      <c r="C670" s="40"/>
      <c r="D670" s="40"/>
      <c r="E670" s="40"/>
      <c r="F670" s="77"/>
      <c r="G670" s="77"/>
      <c r="H670" s="78"/>
      <c r="I670" s="6"/>
      <c r="J670" s="6"/>
      <c r="K670" s="79"/>
      <c r="N670" s="79"/>
      <c r="Q670" s="67"/>
    </row>
    <row r="671" spans="1:17" ht="15.6">
      <c r="A671" s="67"/>
      <c r="B671" s="68"/>
      <c r="C671" s="40"/>
      <c r="D671" s="40"/>
      <c r="E671" s="40"/>
      <c r="F671" s="77"/>
      <c r="G671" s="77"/>
      <c r="H671" s="78"/>
      <c r="I671" s="6"/>
      <c r="J671" s="6"/>
      <c r="K671" s="79"/>
      <c r="N671" s="79"/>
      <c r="Q671" s="67"/>
    </row>
    <row r="672" spans="1:17" ht="15.6">
      <c r="A672" s="67"/>
      <c r="B672" s="68"/>
      <c r="C672" s="40"/>
      <c r="D672" s="40"/>
      <c r="E672" s="40"/>
      <c r="F672" s="77"/>
      <c r="G672" s="77"/>
      <c r="H672" s="78"/>
      <c r="I672" s="6"/>
      <c r="J672" s="6"/>
      <c r="K672" s="79"/>
      <c r="N672" s="79"/>
      <c r="Q672" s="67"/>
    </row>
    <row r="673" spans="1:17" ht="15.6">
      <c r="A673" s="67"/>
      <c r="B673" s="68"/>
      <c r="C673" s="40"/>
      <c r="D673" s="40"/>
      <c r="E673" s="40"/>
      <c r="F673" s="77"/>
      <c r="G673" s="77"/>
      <c r="H673" s="78"/>
      <c r="I673" s="6"/>
      <c r="J673" s="6"/>
      <c r="K673" s="79"/>
      <c r="N673" s="79"/>
      <c r="Q673" s="67"/>
    </row>
    <row r="674" spans="1:17" ht="15.6">
      <c r="A674" s="67"/>
      <c r="B674" s="68"/>
      <c r="C674" s="40"/>
      <c r="D674" s="40"/>
      <c r="E674" s="40"/>
      <c r="F674" s="77"/>
      <c r="G674" s="77"/>
      <c r="H674" s="78"/>
      <c r="I674" s="6"/>
      <c r="J674" s="6"/>
      <c r="K674" s="79"/>
      <c r="N674" s="79"/>
      <c r="Q674" s="67"/>
    </row>
    <row r="675" spans="1:17" ht="15.6">
      <c r="A675" s="67"/>
      <c r="B675" s="68"/>
      <c r="C675" s="40"/>
      <c r="D675" s="40"/>
      <c r="E675" s="40"/>
      <c r="F675" s="77"/>
      <c r="G675" s="77"/>
      <c r="H675" s="78"/>
      <c r="I675" s="6"/>
      <c r="J675" s="6"/>
      <c r="K675" s="79"/>
      <c r="N675" s="79"/>
      <c r="Q675" s="67"/>
    </row>
    <row r="676" spans="1:17" ht="15.6">
      <c r="A676" s="67"/>
      <c r="B676" s="68"/>
      <c r="C676" s="40"/>
      <c r="D676" s="40"/>
      <c r="E676" s="40"/>
      <c r="F676" s="77"/>
      <c r="G676" s="77"/>
      <c r="H676" s="78"/>
      <c r="I676" s="6"/>
      <c r="J676" s="6"/>
      <c r="K676" s="79"/>
      <c r="N676" s="79"/>
      <c r="Q676" s="67"/>
    </row>
    <row r="677" spans="1:17" ht="15.6">
      <c r="A677" s="67"/>
      <c r="B677" s="68"/>
      <c r="C677" s="40"/>
      <c r="D677" s="40"/>
      <c r="E677" s="40"/>
      <c r="F677" s="77"/>
      <c r="G677" s="77"/>
      <c r="H677" s="78"/>
      <c r="I677" s="6"/>
      <c r="J677" s="6"/>
      <c r="K677" s="79"/>
      <c r="N677" s="79"/>
      <c r="Q677" s="67"/>
    </row>
    <row r="678" spans="1:17" ht="15.6">
      <c r="A678" s="67"/>
      <c r="B678" s="68"/>
      <c r="C678" s="40"/>
      <c r="D678" s="40"/>
      <c r="E678" s="40"/>
      <c r="F678" s="77"/>
      <c r="G678" s="77"/>
      <c r="H678" s="78"/>
      <c r="I678" s="6"/>
      <c r="J678" s="6"/>
      <c r="K678" s="79"/>
      <c r="N678" s="79"/>
      <c r="Q678" s="67"/>
    </row>
    <row r="679" spans="1:17" ht="15.6">
      <c r="A679" s="67"/>
      <c r="B679" s="68"/>
      <c r="C679" s="40"/>
      <c r="D679" s="40"/>
      <c r="E679" s="40"/>
      <c r="F679" s="77"/>
      <c r="G679" s="77"/>
      <c r="H679" s="78"/>
      <c r="I679" s="6"/>
      <c r="J679" s="6"/>
      <c r="K679" s="79"/>
      <c r="N679" s="79"/>
      <c r="Q679" s="67"/>
    </row>
    <row r="680" spans="1:17" ht="15.6">
      <c r="A680" s="67"/>
      <c r="B680" s="68"/>
      <c r="C680" s="40"/>
      <c r="D680" s="40"/>
      <c r="E680" s="40"/>
      <c r="F680" s="77"/>
      <c r="G680" s="77"/>
      <c r="H680" s="78"/>
      <c r="I680" s="6"/>
      <c r="J680" s="6"/>
      <c r="K680" s="79"/>
      <c r="N680" s="79"/>
      <c r="Q680" s="67"/>
    </row>
    <row r="681" spans="1:17" ht="15.6">
      <c r="A681" s="67"/>
      <c r="B681" s="68"/>
      <c r="C681" s="40"/>
      <c r="D681" s="40"/>
      <c r="E681" s="40"/>
      <c r="F681" s="77"/>
      <c r="G681" s="77"/>
      <c r="H681" s="78"/>
      <c r="I681" s="6"/>
      <c r="J681" s="6"/>
      <c r="K681" s="79"/>
      <c r="N681" s="79"/>
      <c r="Q681" s="67"/>
    </row>
    <row r="682" spans="1:17" ht="15.6">
      <c r="A682" s="67"/>
      <c r="B682" s="68"/>
      <c r="C682" s="40"/>
      <c r="D682" s="40"/>
      <c r="E682" s="40"/>
      <c r="F682" s="77"/>
      <c r="G682" s="77"/>
      <c r="H682" s="78"/>
      <c r="I682" s="6"/>
      <c r="J682" s="6"/>
      <c r="K682" s="79"/>
      <c r="N682" s="79"/>
      <c r="Q682" s="67"/>
    </row>
    <row r="683" spans="1:17" ht="15.6">
      <c r="A683" s="67"/>
      <c r="B683" s="68"/>
      <c r="C683" s="40"/>
      <c r="D683" s="40"/>
      <c r="E683" s="40"/>
      <c r="F683" s="77"/>
      <c r="G683" s="77"/>
      <c r="H683" s="78"/>
      <c r="I683" s="6"/>
      <c r="J683" s="6"/>
      <c r="K683" s="79"/>
      <c r="N683" s="79"/>
      <c r="Q683" s="67"/>
    </row>
    <row r="684" spans="1:17" ht="15.6">
      <c r="A684" s="67"/>
      <c r="B684" s="68"/>
      <c r="C684" s="40"/>
      <c r="D684" s="40"/>
      <c r="E684" s="40"/>
      <c r="F684" s="77"/>
      <c r="G684" s="77"/>
      <c r="H684" s="78"/>
      <c r="I684" s="6"/>
      <c r="J684" s="6"/>
      <c r="K684" s="79"/>
      <c r="N684" s="79"/>
      <c r="Q684" s="67"/>
    </row>
    <row r="685" spans="1:17" ht="15.6">
      <c r="A685" s="67"/>
      <c r="B685" s="68"/>
      <c r="C685" s="40"/>
      <c r="D685" s="40"/>
      <c r="E685" s="40"/>
      <c r="F685" s="77"/>
      <c r="G685" s="77"/>
      <c r="H685" s="78"/>
      <c r="I685" s="6"/>
      <c r="J685" s="6"/>
      <c r="K685" s="79"/>
      <c r="N685" s="79"/>
      <c r="Q685" s="67"/>
    </row>
    <row r="686" spans="1:17" ht="15.6">
      <c r="A686" s="67"/>
      <c r="B686" s="68"/>
      <c r="C686" s="40"/>
      <c r="D686" s="40"/>
      <c r="E686" s="40"/>
      <c r="F686" s="77"/>
      <c r="G686" s="77"/>
      <c r="H686" s="78"/>
      <c r="I686" s="6"/>
      <c r="J686" s="6"/>
      <c r="K686" s="79"/>
      <c r="N686" s="79"/>
      <c r="Q686" s="67"/>
    </row>
    <row r="687" spans="1:17" ht="15.6">
      <c r="A687" s="67"/>
      <c r="B687" s="68"/>
      <c r="C687" s="40"/>
      <c r="D687" s="40"/>
      <c r="E687" s="40"/>
      <c r="F687" s="77"/>
      <c r="G687" s="77"/>
      <c r="H687" s="78"/>
      <c r="I687" s="6"/>
      <c r="J687" s="6"/>
      <c r="K687" s="79"/>
      <c r="N687" s="79"/>
      <c r="Q687" s="67"/>
    </row>
    <row r="688" spans="1:17" ht="15.6">
      <c r="A688" s="67"/>
      <c r="B688" s="68"/>
      <c r="C688" s="40"/>
      <c r="D688" s="40"/>
      <c r="E688" s="40"/>
      <c r="F688" s="77"/>
      <c r="G688" s="77"/>
      <c r="H688" s="78"/>
      <c r="I688" s="6"/>
      <c r="J688" s="6"/>
      <c r="K688" s="79"/>
      <c r="N688" s="79"/>
      <c r="Q688" s="67"/>
    </row>
    <row r="689" spans="1:17" ht="15.6">
      <c r="A689" s="67"/>
      <c r="B689" s="68"/>
      <c r="C689" s="40"/>
      <c r="D689" s="40"/>
      <c r="E689" s="40"/>
      <c r="F689" s="77"/>
      <c r="G689" s="77"/>
      <c r="H689" s="78"/>
      <c r="I689" s="6"/>
      <c r="J689" s="6"/>
      <c r="K689" s="79"/>
      <c r="N689" s="79"/>
      <c r="Q689" s="67"/>
    </row>
    <row r="690" spans="1:17" ht="15.6">
      <c r="A690" s="67"/>
      <c r="B690" s="68"/>
      <c r="C690" s="40"/>
      <c r="D690" s="40"/>
      <c r="E690" s="40"/>
      <c r="F690" s="77"/>
      <c r="G690" s="77"/>
      <c r="H690" s="78"/>
      <c r="I690" s="6"/>
      <c r="J690" s="6"/>
      <c r="K690" s="79"/>
      <c r="N690" s="79"/>
      <c r="Q690" s="67"/>
    </row>
    <row r="691" spans="1:17" ht="15.6">
      <c r="A691" s="67"/>
      <c r="B691" s="68"/>
      <c r="C691" s="40"/>
      <c r="D691" s="40"/>
      <c r="E691" s="40"/>
      <c r="F691" s="77"/>
      <c r="G691" s="77"/>
      <c r="H691" s="78"/>
      <c r="I691" s="6"/>
      <c r="J691" s="6"/>
      <c r="K691" s="79"/>
      <c r="N691" s="79"/>
      <c r="Q691" s="67"/>
    </row>
    <row r="692" spans="1:17" ht="15.6">
      <c r="A692" s="67"/>
      <c r="B692" s="68"/>
      <c r="C692" s="40"/>
      <c r="D692" s="40"/>
      <c r="E692" s="40"/>
      <c r="F692" s="77"/>
      <c r="G692" s="77"/>
      <c r="H692" s="78"/>
      <c r="I692" s="6"/>
      <c r="J692" s="6"/>
      <c r="K692" s="79"/>
      <c r="N692" s="79"/>
      <c r="Q692" s="67"/>
    </row>
    <row r="693" spans="1:17" ht="15.6">
      <c r="A693" s="67"/>
      <c r="B693" s="68"/>
      <c r="C693" s="40"/>
      <c r="D693" s="40"/>
      <c r="E693" s="40"/>
      <c r="F693" s="77"/>
      <c r="G693" s="77"/>
      <c r="H693" s="78"/>
      <c r="I693" s="6"/>
      <c r="J693" s="6"/>
      <c r="K693" s="79"/>
      <c r="N693" s="79"/>
      <c r="Q693" s="67"/>
    </row>
    <row r="694" spans="1:17" ht="15.6">
      <c r="A694" s="67"/>
      <c r="B694" s="68"/>
      <c r="C694" s="40"/>
      <c r="D694" s="40"/>
      <c r="E694" s="40"/>
      <c r="F694" s="77"/>
      <c r="G694" s="77"/>
      <c r="H694" s="78"/>
      <c r="I694" s="6"/>
      <c r="J694" s="6"/>
      <c r="K694" s="79"/>
      <c r="N694" s="79"/>
      <c r="Q694" s="67"/>
    </row>
    <row r="695" spans="1:17" ht="15.6">
      <c r="A695" s="67"/>
      <c r="B695" s="68"/>
      <c r="C695" s="40"/>
      <c r="D695" s="40"/>
      <c r="E695" s="40"/>
      <c r="F695" s="77"/>
      <c r="G695" s="77"/>
      <c r="H695" s="78"/>
      <c r="I695" s="6"/>
      <c r="J695" s="6"/>
      <c r="K695" s="79"/>
      <c r="N695" s="79"/>
      <c r="Q695" s="67"/>
    </row>
    <row r="696" spans="1:17" ht="15.6">
      <c r="A696" s="67"/>
      <c r="B696" s="68"/>
      <c r="C696" s="40"/>
      <c r="D696" s="40"/>
      <c r="E696" s="40"/>
      <c r="F696" s="77"/>
      <c r="G696" s="77"/>
      <c r="H696" s="78"/>
      <c r="I696" s="6"/>
      <c r="J696" s="6"/>
      <c r="K696" s="79"/>
      <c r="N696" s="79"/>
      <c r="Q696" s="67"/>
    </row>
    <row r="697" spans="1:17" ht="15.6">
      <c r="A697" s="67"/>
      <c r="B697" s="68"/>
      <c r="C697" s="40"/>
      <c r="D697" s="40"/>
      <c r="E697" s="40"/>
      <c r="F697" s="77"/>
      <c r="G697" s="77"/>
      <c r="H697" s="78"/>
      <c r="I697" s="6"/>
      <c r="J697" s="6"/>
      <c r="K697" s="79"/>
      <c r="N697" s="79"/>
      <c r="Q697" s="67"/>
    </row>
    <row r="698" spans="1:17" ht="15.6">
      <c r="A698" s="67"/>
      <c r="B698" s="68"/>
      <c r="C698" s="40"/>
      <c r="D698" s="40"/>
      <c r="E698" s="40"/>
      <c r="F698" s="77"/>
      <c r="G698" s="77"/>
      <c r="H698" s="78"/>
      <c r="I698" s="6"/>
      <c r="J698" s="6"/>
      <c r="K698" s="79"/>
      <c r="N698" s="79"/>
      <c r="Q698" s="67"/>
    </row>
    <row r="699" spans="1:17" ht="15.6">
      <c r="A699" s="67"/>
      <c r="B699" s="68"/>
      <c r="C699" s="40"/>
      <c r="D699" s="40"/>
      <c r="E699" s="40"/>
      <c r="F699" s="77"/>
      <c r="G699" s="77"/>
      <c r="H699" s="78"/>
      <c r="I699" s="6"/>
      <c r="J699" s="6"/>
      <c r="K699" s="79"/>
      <c r="N699" s="79"/>
      <c r="Q699" s="67"/>
    </row>
    <row r="700" spans="1:17" ht="15.6">
      <c r="A700" s="67"/>
      <c r="B700" s="68"/>
      <c r="C700" s="40"/>
      <c r="D700" s="40"/>
      <c r="E700" s="40"/>
      <c r="F700" s="77"/>
      <c r="G700" s="77"/>
      <c r="H700" s="78"/>
      <c r="I700" s="6"/>
      <c r="J700" s="6"/>
      <c r="K700" s="79"/>
      <c r="N700" s="79"/>
      <c r="Q700" s="67"/>
    </row>
    <row r="701" spans="1:17" ht="15.6">
      <c r="A701" s="67"/>
      <c r="B701" s="68"/>
      <c r="C701" s="40"/>
      <c r="D701" s="40"/>
      <c r="E701" s="40"/>
      <c r="F701" s="77"/>
      <c r="G701" s="77"/>
      <c r="H701" s="78"/>
      <c r="I701" s="6"/>
      <c r="J701" s="6"/>
      <c r="K701" s="79"/>
      <c r="N701" s="79"/>
      <c r="Q701" s="67"/>
    </row>
    <row r="702" spans="1:17" ht="15.6">
      <c r="A702" s="67"/>
      <c r="B702" s="68"/>
      <c r="C702" s="40"/>
      <c r="D702" s="40"/>
      <c r="E702" s="40"/>
      <c r="F702" s="77"/>
      <c r="G702" s="77"/>
      <c r="H702" s="78"/>
      <c r="I702" s="6"/>
      <c r="J702" s="6"/>
      <c r="K702" s="79"/>
      <c r="N702" s="79"/>
      <c r="Q702" s="67"/>
    </row>
    <row r="703" spans="1:17" ht="15.6">
      <c r="A703" s="67"/>
      <c r="B703" s="68"/>
      <c r="C703" s="40"/>
      <c r="D703" s="40"/>
      <c r="E703" s="40"/>
      <c r="F703" s="77"/>
      <c r="G703" s="77"/>
      <c r="H703" s="78"/>
      <c r="I703" s="6"/>
      <c r="J703" s="6"/>
      <c r="K703" s="79"/>
      <c r="N703" s="79"/>
      <c r="Q703" s="67"/>
    </row>
    <row r="704" spans="1:17" ht="15.6">
      <c r="A704" s="67"/>
      <c r="B704" s="68"/>
      <c r="C704" s="40"/>
      <c r="D704" s="40"/>
      <c r="E704" s="40"/>
      <c r="F704" s="77"/>
      <c r="G704" s="77"/>
      <c r="H704" s="78"/>
      <c r="I704" s="6"/>
      <c r="J704" s="6"/>
      <c r="K704" s="79"/>
      <c r="N704" s="79"/>
      <c r="Q704" s="67"/>
    </row>
    <row r="705" spans="1:17" ht="15.6">
      <c r="A705" s="67"/>
      <c r="B705" s="68"/>
      <c r="C705" s="40"/>
      <c r="D705" s="40"/>
      <c r="E705" s="40"/>
      <c r="F705" s="77"/>
      <c r="G705" s="77"/>
      <c r="H705" s="78"/>
      <c r="I705" s="6"/>
      <c r="J705" s="6"/>
      <c r="K705" s="79"/>
      <c r="N705" s="79"/>
      <c r="Q705" s="67"/>
    </row>
    <row r="706" spans="1:17" ht="15.6">
      <c r="A706" s="67"/>
      <c r="B706" s="68"/>
      <c r="C706" s="40"/>
      <c r="D706" s="40"/>
      <c r="E706" s="40"/>
      <c r="F706" s="77"/>
      <c r="G706" s="77"/>
      <c r="H706" s="78"/>
      <c r="I706" s="6"/>
      <c r="J706" s="6"/>
      <c r="K706" s="79"/>
      <c r="N706" s="79"/>
      <c r="Q706" s="67"/>
    </row>
    <row r="707" spans="1:17" ht="15.6">
      <c r="A707" s="67"/>
      <c r="B707" s="68"/>
      <c r="C707" s="40"/>
      <c r="D707" s="40"/>
      <c r="E707" s="40"/>
      <c r="F707" s="77"/>
      <c r="G707" s="77"/>
      <c r="H707" s="78"/>
      <c r="I707" s="6"/>
      <c r="J707" s="6"/>
      <c r="K707" s="79"/>
      <c r="N707" s="79"/>
      <c r="Q707" s="67"/>
    </row>
    <row r="708" spans="1:17" ht="15.6">
      <c r="A708" s="67"/>
      <c r="B708" s="68"/>
      <c r="C708" s="40"/>
      <c r="D708" s="40"/>
      <c r="E708" s="40"/>
      <c r="F708" s="77"/>
      <c r="G708" s="77"/>
      <c r="H708" s="78"/>
      <c r="I708" s="6"/>
      <c r="J708" s="6"/>
      <c r="K708" s="79"/>
      <c r="N708" s="79"/>
      <c r="Q708" s="67"/>
    </row>
    <row r="709" spans="1:17" ht="15.6">
      <c r="A709" s="67"/>
      <c r="B709" s="68"/>
      <c r="C709" s="40"/>
      <c r="D709" s="40"/>
      <c r="E709" s="40"/>
      <c r="F709" s="77"/>
      <c r="G709" s="77"/>
      <c r="H709" s="78"/>
      <c r="I709" s="6"/>
      <c r="J709" s="6"/>
      <c r="K709" s="79"/>
      <c r="N709" s="79"/>
      <c r="Q709" s="67"/>
    </row>
    <row r="710" spans="1:17" ht="15.6">
      <c r="A710" s="67"/>
      <c r="B710" s="68"/>
      <c r="C710" s="40"/>
      <c r="D710" s="40"/>
      <c r="E710" s="40"/>
      <c r="F710" s="77"/>
      <c r="G710" s="77"/>
      <c r="H710" s="78"/>
      <c r="I710" s="6"/>
      <c r="J710" s="6"/>
      <c r="K710" s="79"/>
      <c r="N710" s="79"/>
      <c r="Q710" s="67"/>
    </row>
    <row r="711" spans="1:17" ht="15.6">
      <c r="A711" s="67"/>
      <c r="B711" s="68"/>
      <c r="C711" s="40"/>
      <c r="D711" s="40"/>
      <c r="E711" s="40"/>
      <c r="F711" s="77"/>
      <c r="G711" s="77"/>
      <c r="H711" s="78"/>
      <c r="I711" s="6"/>
      <c r="J711" s="6"/>
      <c r="K711" s="79"/>
      <c r="N711" s="79"/>
      <c r="Q711" s="67"/>
    </row>
    <row r="712" spans="1:17" ht="15.6">
      <c r="A712" s="67"/>
      <c r="B712" s="68"/>
      <c r="C712" s="40"/>
      <c r="D712" s="40"/>
      <c r="E712" s="40"/>
      <c r="F712" s="77"/>
      <c r="G712" s="77"/>
      <c r="H712" s="78"/>
      <c r="I712" s="6"/>
      <c r="J712" s="6"/>
      <c r="K712" s="79"/>
      <c r="N712" s="79"/>
      <c r="Q712" s="67"/>
    </row>
    <row r="713" spans="1:17" ht="15.6">
      <c r="A713" s="67"/>
      <c r="B713" s="68"/>
      <c r="C713" s="40"/>
      <c r="D713" s="40"/>
      <c r="E713" s="40"/>
      <c r="F713" s="77"/>
      <c r="G713" s="77"/>
      <c r="H713" s="78"/>
      <c r="I713" s="6"/>
      <c r="J713" s="6"/>
      <c r="K713" s="79"/>
      <c r="N713" s="79"/>
      <c r="Q713" s="67"/>
    </row>
    <row r="714" spans="1:17" ht="15.6">
      <c r="A714" s="67"/>
      <c r="B714" s="68"/>
      <c r="C714" s="40"/>
      <c r="D714" s="40"/>
      <c r="E714" s="40"/>
      <c r="F714" s="77"/>
      <c r="G714" s="77"/>
      <c r="H714" s="78"/>
      <c r="I714" s="6"/>
      <c r="J714" s="6"/>
      <c r="K714" s="79"/>
      <c r="N714" s="79"/>
      <c r="Q714" s="67"/>
    </row>
    <row r="715" spans="1:17" ht="15.6">
      <c r="A715" s="67"/>
      <c r="B715" s="68"/>
      <c r="C715" s="40"/>
      <c r="D715" s="40"/>
      <c r="E715" s="40"/>
      <c r="F715" s="77"/>
      <c r="G715" s="77"/>
      <c r="H715" s="78"/>
      <c r="I715" s="6"/>
      <c r="J715" s="6"/>
      <c r="K715" s="79"/>
      <c r="N715" s="79"/>
      <c r="Q715" s="67"/>
    </row>
    <row r="716" spans="1:17" ht="15.6">
      <c r="A716" s="67"/>
      <c r="B716" s="68"/>
      <c r="C716" s="40"/>
      <c r="D716" s="40"/>
      <c r="E716" s="40"/>
      <c r="F716" s="77"/>
      <c r="G716" s="77"/>
      <c r="H716" s="78"/>
      <c r="I716" s="6"/>
      <c r="J716" s="6"/>
      <c r="K716" s="79"/>
      <c r="N716" s="79"/>
      <c r="Q716" s="67"/>
    </row>
    <row r="717" spans="1:17" ht="15.6">
      <c r="A717" s="67"/>
      <c r="B717" s="68"/>
      <c r="C717" s="40"/>
      <c r="D717" s="40"/>
      <c r="E717" s="40"/>
      <c r="F717" s="77"/>
      <c r="G717" s="77"/>
      <c r="H717" s="78"/>
      <c r="I717" s="6"/>
      <c r="J717" s="6"/>
      <c r="K717" s="79"/>
      <c r="N717" s="79"/>
      <c r="Q717" s="67"/>
    </row>
    <row r="718" spans="1:17" ht="15.6">
      <c r="A718" s="67"/>
      <c r="B718" s="68"/>
      <c r="C718" s="40"/>
      <c r="D718" s="40"/>
      <c r="E718" s="40"/>
      <c r="F718" s="77"/>
      <c r="G718" s="77"/>
      <c r="H718" s="78"/>
      <c r="I718" s="6"/>
      <c r="J718" s="6"/>
      <c r="K718" s="79"/>
      <c r="N718" s="79"/>
      <c r="Q718" s="67"/>
    </row>
    <row r="719" spans="1:17" ht="15.6">
      <c r="A719" s="67"/>
      <c r="B719" s="68"/>
      <c r="C719" s="40"/>
      <c r="D719" s="40"/>
      <c r="E719" s="40"/>
      <c r="F719" s="77"/>
      <c r="G719" s="77"/>
      <c r="H719" s="78"/>
      <c r="I719" s="6"/>
      <c r="J719" s="6"/>
      <c r="K719" s="79"/>
      <c r="N719" s="79"/>
      <c r="Q719" s="67"/>
    </row>
    <row r="720" spans="1:17" ht="15.6">
      <c r="A720" s="67"/>
      <c r="B720" s="68"/>
      <c r="C720" s="40"/>
      <c r="D720" s="40"/>
      <c r="E720" s="40"/>
      <c r="F720" s="77"/>
      <c r="G720" s="77"/>
      <c r="H720" s="78"/>
      <c r="I720" s="6"/>
      <c r="J720" s="6"/>
      <c r="K720" s="79"/>
      <c r="N720" s="79"/>
      <c r="Q720" s="67"/>
    </row>
    <row r="721" spans="1:17" ht="15.6">
      <c r="A721" s="67"/>
      <c r="B721" s="68"/>
      <c r="C721" s="40"/>
      <c r="D721" s="40"/>
      <c r="E721" s="40"/>
      <c r="F721" s="77"/>
      <c r="G721" s="77"/>
      <c r="H721" s="78"/>
      <c r="I721" s="6"/>
      <c r="J721" s="6"/>
      <c r="K721" s="79"/>
      <c r="N721" s="79"/>
      <c r="Q721" s="67"/>
    </row>
    <row r="722" spans="1:17" ht="15.6">
      <c r="A722" s="67"/>
      <c r="B722" s="68"/>
      <c r="C722" s="40"/>
      <c r="D722" s="40"/>
      <c r="E722" s="40"/>
      <c r="F722" s="77"/>
      <c r="G722" s="77"/>
      <c r="H722" s="78"/>
      <c r="I722" s="6"/>
      <c r="J722" s="6"/>
      <c r="K722" s="79"/>
      <c r="N722" s="79"/>
      <c r="Q722" s="67"/>
    </row>
    <row r="723" spans="1:17" ht="15.6">
      <c r="A723" s="67"/>
      <c r="B723" s="68"/>
      <c r="C723" s="40"/>
      <c r="D723" s="40"/>
      <c r="E723" s="40"/>
      <c r="F723" s="77"/>
      <c r="G723" s="77"/>
      <c r="H723" s="78"/>
      <c r="I723" s="6"/>
      <c r="J723" s="6"/>
      <c r="K723" s="79"/>
      <c r="N723" s="79"/>
      <c r="Q723" s="67"/>
    </row>
    <row r="724" spans="1:17" ht="15.6">
      <c r="A724" s="67"/>
      <c r="B724" s="68"/>
      <c r="C724" s="40"/>
      <c r="D724" s="40"/>
      <c r="E724" s="40"/>
      <c r="F724" s="77"/>
      <c r="G724" s="77"/>
      <c r="H724" s="78"/>
      <c r="I724" s="6"/>
      <c r="J724" s="6"/>
      <c r="K724" s="79"/>
      <c r="N724" s="79"/>
      <c r="Q724" s="67"/>
    </row>
    <row r="725" spans="1:17" ht="15.6">
      <c r="A725" s="67"/>
      <c r="B725" s="68"/>
      <c r="C725" s="40"/>
      <c r="D725" s="40"/>
      <c r="E725" s="40"/>
      <c r="F725" s="77"/>
      <c r="G725" s="77"/>
      <c r="H725" s="78"/>
      <c r="I725" s="6"/>
      <c r="J725" s="6"/>
      <c r="K725" s="79"/>
      <c r="N725" s="79"/>
      <c r="Q725" s="67"/>
    </row>
    <row r="726" spans="1:17" ht="15.6">
      <c r="A726" s="67"/>
      <c r="B726" s="68"/>
      <c r="C726" s="40"/>
      <c r="D726" s="40"/>
      <c r="E726" s="40"/>
      <c r="F726" s="77"/>
      <c r="G726" s="77"/>
      <c r="H726" s="78"/>
      <c r="I726" s="6"/>
      <c r="J726" s="6"/>
      <c r="K726" s="79"/>
      <c r="N726" s="79"/>
      <c r="Q726" s="67"/>
    </row>
    <row r="727" spans="1:17" ht="15.6">
      <c r="A727" s="67"/>
      <c r="B727" s="68"/>
      <c r="C727" s="40"/>
      <c r="D727" s="40"/>
      <c r="E727" s="40"/>
      <c r="F727" s="77"/>
      <c r="G727" s="77"/>
      <c r="H727" s="78"/>
      <c r="I727" s="6"/>
      <c r="J727" s="6"/>
      <c r="K727" s="79"/>
      <c r="N727" s="79"/>
      <c r="Q727" s="67"/>
    </row>
    <row r="728" spans="1:17" ht="15.6">
      <c r="A728" s="67"/>
      <c r="B728" s="68"/>
      <c r="C728" s="40"/>
      <c r="D728" s="40"/>
      <c r="E728" s="40"/>
      <c r="F728" s="77"/>
      <c r="G728" s="77"/>
      <c r="H728" s="78"/>
      <c r="I728" s="6"/>
      <c r="J728" s="6"/>
      <c r="K728" s="79"/>
      <c r="N728" s="79"/>
      <c r="Q728" s="67"/>
    </row>
    <row r="729" spans="1:17" ht="15.6">
      <c r="A729" s="67"/>
      <c r="B729" s="68"/>
      <c r="C729" s="40"/>
      <c r="D729" s="40"/>
      <c r="E729" s="40"/>
      <c r="F729" s="77"/>
      <c r="G729" s="77"/>
      <c r="H729" s="78"/>
      <c r="I729" s="6"/>
      <c r="J729" s="6"/>
      <c r="K729" s="79"/>
      <c r="N729" s="79"/>
      <c r="Q729" s="67"/>
    </row>
    <row r="730" spans="1:17" ht="15.6">
      <c r="A730" s="67"/>
      <c r="B730" s="68"/>
      <c r="C730" s="40"/>
      <c r="D730" s="40"/>
      <c r="E730" s="40"/>
      <c r="F730" s="77"/>
      <c r="G730" s="77"/>
      <c r="H730" s="78"/>
      <c r="I730" s="6"/>
      <c r="J730" s="6"/>
      <c r="K730" s="79"/>
      <c r="N730" s="79"/>
      <c r="Q730" s="67"/>
    </row>
    <row r="731" spans="1:17" ht="15.6">
      <c r="A731" s="67"/>
      <c r="B731" s="68"/>
      <c r="C731" s="40"/>
      <c r="D731" s="40"/>
      <c r="E731" s="40"/>
      <c r="F731" s="77"/>
      <c r="G731" s="77"/>
      <c r="H731" s="78"/>
      <c r="I731" s="6"/>
      <c r="J731" s="6"/>
      <c r="K731" s="79"/>
      <c r="N731" s="79"/>
      <c r="Q731" s="67"/>
    </row>
    <row r="732" spans="1:17" ht="15.6">
      <c r="A732" s="67"/>
      <c r="B732" s="68"/>
      <c r="C732" s="40"/>
      <c r="D732" s="40"/>
      <c r="E732" s="40"/>
      <c r="F732" s="77"/>
      <c r="G732" s="77"/>
      <c r="H732" s="78"/>
      <c r="I732" s="6"/>
      <c r="J732" s="6"/>
      <c r="K732" s="79"/>
      <c r="N732" s="79"/>
      <c r="Q732" s="67"/>
    </row>
    <row r="733" spans="1:17" ht="15.6">
      <c r="A733" s="67"/>
      <c r="B733" s="68"/>
      <c r="C733" s="40"/>
      <c r="D733" s="40"/>
      <c r="E733" s="40"/>
      <c r="F733" s="77"/>
      <c r="G733" s="77"/>
      <c r="H733" s="78"/>
      <c r="I733" s="6"/>
      <c r="J733" s="6"/>
      <c r="K733" s="79"/>
      <c r="N733" s="79"/>
      <c r="Q733" s="67"/>
    </row>
    <row r="734" spans="1:17" ht="15.6">
      <c r="A734" s="67"/>
      <c r="B734" s="68"/>
      <c r="C734" s="40"/>
      <c r="D734" s="40"/>
      <c r="E734" s="40"/>
      <c r="F734" s="77"/>
      <c r="G734" s="77"/>
      <c r="H734" s="78"/>
      <c r="I734" s="6"/>
      <c r="J734" s="6"/>
      <c r="K734" s="79"/>
      <c r="N734" s="79"/>
      <c r="Q734" s="67"/>
    </row>
    <row r="735" spans="1:17" ht="15.6">
      <c r="A735" s="67"/>
      <c r="B735" s="68"/>
      <c r="C735" s="40"/>
      <c r="D735" s="40"/>
      <c r="E735" s="40"/>
      <c r="F735" s="77"/>
      <c r="G735" s="77"/>
      <c r="H735" s="78"/>
      <c r="I735" s="6"/>
      <c r="J735" s="6"/>
      <c r="K735" s="79"/>
      <c r="N735" s="79"/>
      <c r="Q735" s="67"/>
    </row>
    <row r="736" spans="1:17" ht="15.6">
      <c r="A736" s="67"/>
      <c r="B736" s="68"/>
      <c r="C736" s="40"/>
      <c r="D736" s="40"/>
      <c r="E736" s="40"/>
      <c r="F736" s="77"/>
      <c r="G736" s="77"/>
      <c r="H736" s="78"/>
      <c r="I736" s="6"/>
      <c r="J736" s="6"/>
      <c r="K736" s="79"/>
      <c r="N736" s="79"/>
      <c r="Q736" s="67"/>
    </row>
    <row r="737" spans="1:17" ht="15.6">
      <c r="A737" s="67"/>
      <c r="B737" s="68"/>
      <c r="C737" s="40"/>
      <c r="D737" s="40"/>
      <c r="E737" s="40"/>
      <c r="F737" s="77"/>
      <c r="G737" s="77"/>
      <c r="H737" s="78"/>
      <c r="I737" s="6"/>
      <c r="J737" s="6"/>
      <c r="K737" s="79"/>
      <c r="N737" s="79"/>
      <c r="Q737" s="67"/>
    </row>
    <row r="738" spans="1:17" ht="15.6">
      <c r="A738" s="67"/>
      <c r="B738" s="68"/>
      <c r="C738" s="40"/>
      <c r="D738" s="40"/>
      <c r="E738" s="40"/>
      <c r="F738" s="77"/>
      <c r="G738" s="77"/>
      <c r="H738" s="78"/>
      <c r="I738" s="6"/>
      <c r="J738" s="6"/>
      <c r="K738" s="79"/>
      <c r="N738" s="79"/>
      <c r="Q738" s="67"/>
    </row>
    <row r="739" spans="1:17" ht="15.6">
      <c r="A739" s="67"/>
      <c r="B739" s="68"/>
      <c r="C739" s="40"/>
      <c r="D739" s="40"/>
      <c r="E739" s="40"/>
      <c r="F739" s="77"/>
      <c r="G739" s="77"/>
      <c r="H739" s="78"/>
      <c r="I739" s="6"/>
      <c r="J739" s="6"/>
      <c r="K739" s="79"/>
      <c r="N739" s="79"/>
      <c r="Q739" s="67"/>
    </row>
    <row r="740" spans="1:17" ht="15.6">
      <c r="A740" s="67"/>
      <c r="B740" s="68"/>
      <c r="C740" s="40"/>
      <c r="D740" s="40"/>
      <c r="E740" s="40"/>
      <c r="F740" s="77"/>
      <c r="G740" s="77"/>
      <c r="H740" s="78"/>
      <c r="I740" s="6"/>
      <c r="J740" s="6"/>
      <c r="K740" s="79"/>
      <c r="N740" s="79"/>
      <c r="Q740" s="67"/>
    </row>
    <row r="741" spans="1:17" ht="15.6">
      <c r="A741" s="67"/>
      <c r="B741" s="68"/>
      <c r="C741" s="40"/>
      <c r="D741" s="40"/>
      <c r="E741" s="40"/>
      <c r="F741" s="77"/>
      <c r="G741" s="77"/>
      <c r="H741" s="78"/>
      <c r="I741" s="6"/>
      <c r="J741" s="6"/>
      <c r="K741" s="79"/>
      <c r="N741" s="79"/>
      <c r="Q741" s="67"/>
    </row>
    <row r="742" spans="1:17" ht="15.6">
      <c r="A742" s="67"/>
      <c r="B742" s="68"/>
      <c r="C742" s="40"/>
      <c r="D742" s="40"/>
      <c r="E742" s="40"/>
      <c r="F742" s="77"/>
      <c r="G742" s="77"/>
      <c r="H742" s="78"/>
      <c r="I742" s="6"/>
      <c r="J742" s="6"/>
      <c r="K742" s="79"/>
      <c r="N742" s="79"/>
      <c r="Q742" s="67"/>
    </row>
    <row r="743" spans="1:17" ht="15.6">
      <c r="A743" s="67"/>
      <c r="B743" s="68"/>
      <c r="C743" s="40"/>
      <c r="D743" s="40"/>
      <c r="E743" s="40"/>
      <c r="F743" s="77"/>
      <c r="G743" s="77"/>
      <c r="H743" s="78"/>
      <c r="I743" s="6"/>
      <c r="J743" s="6"/>
      <c r="K743" s="79"/>
      <c r="N743" s="79"/>
      <c r="Q743" s="67"/>
    </row>
    <row r="744" spans="1:17" ht="15.6">
      <c r="A744" s="67"/>
      <c r="B744" s="68"/>
      <c r="C744" s="40"/>
      <c r="D744" s="40"/>
      <c r="E744" s="40"/>
      <c r="F744" s="77"/>
      <c r="G744" s="77"/>
      <c r="H744" s="78"/>
      <c r="I744" s="6"/>
      <c r="J744" s="6"/>
      <c r="K744" s="79"/>
      <c r="N744" s="79"/>
      <c r="Q744" s="67"/>
    </row>
    <row r="745" spans="1:17" ht="15.6">
      <c r="A745" s="67"/>
      <c r="B745" s="68"/>
      <c r="C745" s="40"/>
      <c r="D745" s="40"/>
      <c r="E745" s="40"/>
      <c r="F745" s="77"/>
      <c r="G745" s="77"/>
      <c r="H745" s="78"/>
      <c r="I745" s="6"/>
      <c r="J745" s="6"/>
      <c r="K745" s="79"/>
      <c r="N745" s="79"/>
      <c r="Q745" s="67"/>
    </row>
    <row r="746" spans="1:17" ht="15.6">
      <c r="A746" s="67"/>
      <c r="B746" s="68"/>
      <c r="C746" s="40"/>
      <c r="D746" s="40"/>
      <c r="E746" s="40"/>
      <c r="F746" s="77"/>
      <c r="G746" s="77"/>
      <c r="H746" s="78"/>
      <c r="I746" s="6"/>
      <c r="J746" s="6"/>
      <c r="K746" s="79"/>
      <c r="N746" s="79"/>
      <c r="Q746" s="67"/>
    </row>
    <row r="747" spans="1:17" ht="15.6">
      <c r="A747" s="67"/>
      <c r="B747" s="68"/>
      <c r="C747" s="40"/>
      <c r="D747" s="40"/>
      <c r="E747" s="40"/>
      <c r="F747" s="77"/>
      <c r="G747" s="77"/>
      <c r="H747" s="78"/>
      <c r="I747" s="6"/>
      <c r="J747" s="6"/>
      <c r="K747" s="79"/>
      <c r="N747" s="79"/>
      <c r="Q747" s="67"/>
    </row>
    <row r="748" spans="1:17" ht="15.6">
      <c r="A748" s="67"/>
      <c r="B748" s="68"/>
      <c r="C748" s="40"/>
      <c r="D748" s="40"/>
      <c r="E748" s="40"/>
      <c r="F748" s="77"/>
      <c r="G748" s="77"/>
      <c r="H748" s="78"/>
      <c r="I748" s="6"/>
      <c r="J748" s="6"/>
      <c r="K748" s="79"/>
      <c r="N748" s="79"/>
      <c r="Q748" s="67"/>
    </row>
    <row r="749" spans="1:17" ht="15.6">
      <c r="A749" s="67"/>
      <c r="B749" s="68"/>
      <c r="C749" s="40"/>
      <c r="D749" s="40"/>
      <c r="E749" s="40"/>
      <c r="F749" s="77"/>
      <c r="G749" s="77"/>
      <c r="H749" s="78"/>
      <c r="I749" s="6"/>
      <c r="J749" s="6"/>
      <c r="K749" s="79"/>
      <c r="N749" s="79"/>
      <c r="Q749" s="67"/>
    </row>
    <row r="750" spans="1:17" ht="15.6">
      <c r="A750" s="67"/>
      <c r="B750" s="68"/>
      <c r="C750" s="40"/>
      <c r="D750" s="40"/>
      <c r="E750" s="40"/>
      <c r="F750" s="77"/>
      <c r="G750" s="77"/>
      <c r="H750" s="78"/>
      <c r="I750" s="6"/>
      <c r="J750" s="6"/>
      <c r="K750" s="79"/>
      <c r="N750" s="79"/>
      <c r="Q750" s="67"/>
    </row>
    <row r="751" spans="1:17" ht="15.6">
      <c r="A751" s="67"/>
      <c r="B751" s="68"/>
      <c r="C751" s="40"/>
      <c r="D751" s="40"/>
      <c r="E751" s="40"/>
      <c r="F751" s="77"/>
      <c r="G751" s="77"/>
      <c r="H751" s="78"/>
      <c r="I751" s="6"/>
      <c r="J751" s="6"/>
      <c r="K751" s="79"/>
      <c r="N751" s="79"/>
      <c r="Q751" s="67"/>
    </row>
    <row r="752" spans="1:17" ht="15.6">
      <c r="A752" s="67"/>
      <c r="B752" s="68"/>
      <c r="C752" s="40"/>
      <c r="D752" s="40"/>
      <c r="E752" s="40"/>
      <c r="F752" s="77"/>
      <c r="G752" s="77"/>
      <c r="H752" s="78"/>
      <c r="I752" s="6"/>
      <c r="J752" s="6"/>
      <c r="K752" s="79"/>
      <c r="N752" s="79"/>
      <c r="Q752" s="67"/>
    </row>
    <row r="753" spans="1:17" ht="15.6">
      <c r="A753" s="67"/>
      <c r="B753" s="68"/>
      <c r="C753" s="40"/>
      <c r="D753" s="40"/>
      <c r="E753" s="40"/>
      <c r="F753" s="77"/>
      <c r="G753" s="77"/>
      <c r="H753" s="78"/>
      <c r="I753" s="6"/>
      <c r="J753" s="6"/>
      <c r="K753" s="79"/>
      <c r="N753" s="79"/>
      <c r="Q753" s="67"/>
    </row>
    <row r="754" spans="1:17" ht="15.6">
      <c r="A754" s="67"/>
      <c r="B754" s="68"/>
      <c r="C754" s="40"/>
      <c r="D754" s="40"/>
      <c r="E754" s="40"/>
      <c r="F754" s="77"/>
      <c r="G754" s="77"/>
      <c r="H754" s="78"/>
      <c r="I754" s="6"/>
      <c r="J754" s="6"/>
      <c r="K754" s="79"/>
      <c r="N754" s="79"/>
      <c r="Q754" s="67"/>
    </row>
    <row r="755" spans="1:17" ht="15.6">
      <c r="A755" s="67"/>
      <c r="B755" s="68"/>
      <c r="C755" s="40"/>
      <c r="D755" s="40"/>
      <c r="E755" s="40"/>
      <c r="F755" s="77"/>
      <c r="G755" s="77"/>
      <c r="H755" s="78"/>
      <c r="I755" s="6"/>
      <c r="J755" s="6"/>
      <c r="K755" s="79"/>
      <c r="N755" s="79"/>
      <c r="Q755" s="67"/>
    </row>
    <row r="756" spans="1:17" ht="15.6">
      <c r="A756" s="67"/>
      <c r="B756" s="68"/>
      <c r="C756" s="40"/>
      <c r="D756" s="40"/>
      <c r="E756" s="40"/>
      <c r="F756" s="77"/>
      <c r="G756" s="77"/>
      <c r="H756" s="78"/>
      <c r="I756" s="6"/>
      <c r="J756" s="6"/>
      <c r="K756" s="79"/>
      <c r="N756" s="79"/>
      <c r="Q756" s="67"/>
    </row>
    <row r="757" spans="1:17" ht="15.6">
      <c r="A757" s="67"/>
      <c r="B757" s="68"/>
      <c r="C757" s="40"/>
      <c r="D757" s="40"/>
      <c r="E757" s="40"/>
      <c r="F757" s="77"/>
      <c r="G757" s="77"/>
      <c r="H757" s="78"/>
      <c r="I757" s="6"/>
      <c r="J757" s="6"/>
      <c r="K757" s="79"/>
      <c r="N757" s="79"/>
      <c r="Q757" s="67"/>
    </row>
    <row r="758" spans="1:17" ht="15.6">
      <c r="A758" s="67"/>
      <c r="B758" s="68"/>
      <c r="C758" s="40"/>
      <c r="D758" s="40"/>
      <c r="E758" s="40"/>
      <c r="F758" s="77"/>
      <c r="G758" s="77"/>
      <c r="H758" s="78"/>
      <c r="I758" s="6"/>
      <c r="J758" s="6"/>
      <c r="K758" s="79"/>
      <c r="N758" s="79"/>
      <c r="Q758" s="67"/>
    </row>
    <row r="759" spans="1:17" ht="15.6">
      <c r="A759" s="67"/>
      <c r="B759" s="68"/>
      <c r="C759" s="40"/>
      <c r="D759" s="40"/>
      <c r="E759" s="40"/>
      <c r="F759" s="77"/>
      <c r="G759" s="77"/>
      <c r="H759" s="78"/>
      <c r="I759" s="6"/>
      <c r="J759" s="6"/>
      <c r="K759" s="79"/>
      <c r="N759" s="79"/>
      <c r="Q759" s="67"/>
    </row>
    <row r="760" spans="1:17" ht="15.6">
      <c r="A760" s="67"/>
      <c r="B760" s="68"/>
      <c r="C760" s="40"/>
      <c r="D760" s="40"/>
      <c r="E760" s="40"/>
      <c r="F760" s="77"/>
      <c r="G760" s="77"/>
      <c r="H760" s="78"/>
      <c r="I760" s="6"/>
      <c r="J760" s="6"/>
      <c r="K760" s="79"/>
      <c r="N760" s="79"/>
      <c r="Q760" s="67"/>
    </row>
    <row r="761" spans="1:17" ht="15.6">
      <c r="A761" s="67"/>
      <c r="B761" s="68"/>
      <c r="C761" s="40"/>
      <c r="D761" s="40"/>
      <c r="E761" s="40"/>
      <c r="F761" s="77"/>
      <c r="G761" s="77"/>
      <c r="H761" s="78"/>
      <c r="I761" s="6"/>
      <c r="J761" s="6"/>
      <c r="K761" s="79"/>
      <c r="N761" s="79"/>
      <c r="Q761" s="67"/>
    </row>
    <row r="762" spans="1:17" ht="15.6">
      <c r="A762" s="67"/>
      <c r="B762" s="68"/>
      <c r="C762" s="40"/>
      <c r="D762" s="40"/>
      <c r="E762" s="40"/>
      <c r="F762" s="77"/>
      <c r="G762" s="77"/>
      <c r="H762" s="78"/>
      <c r="I762" s="6"/>
      <c r="J762" s="6"/>
      <c r="K762" s="79"/>
      <c r="N762" s="79"/>
      <c r="Q762" s="67"/>
    </row>
    <row r="763" spans="1:17" ht="15.6">
      <c r="A763" s="67"/>
      <c r="B763" s="68"/>
      <c r="C763" s="40"/>
      <c r="D763" s="40"/>
      <c r="E763" s="40"/>
      <c r="F763" s="77"/>
      <c r="G763" s="77"/>
      <c r="H763" s="78"/>
      <c r="I763" s="6"/>
      <c r="J763" s="6"/>
      <c r="K763" s="79"/>
      <c r="N763" s="79"/>
      <c r="Q763" s="67"/>
    </row>
    <row r="764" spans="1:17" ht="15.6">
      <c r="A764" s="67"/>
      <c r="B764" s="68"/>
      <c r="C764" s="40"/>
      <c r="D764" s="40"/>
      <c r="E764" s="40"/>
      <c r="F764" s="77"/>
      <c r="G764" s="77"/>
      <c r="H764" s="78"/>
      <c r="I764" s="6"/>
      <c r="J764" s="6"/>
      <c r="K764" s="79"/>
      <c r="N764" s="79"/>
      <c r="Q764" s="67"/>
    </row>
    <row r="765" spans="1:17" ht="15.6">
      <c r="A765" s="67"/>
      <c r="B765" s="68"/>
      <c r="C765" s="40"/>
      <c r="D765" s="40"/>
      <c r="E765" s="40"/>
      <c r="F765" s="77"/>
      <c r="G765" s="77"/>
      <c r="H765" s="78"/>
      <c r="I765" s="6"/>
      <c r="J765" s="6"/>
      <c r="K765" s="79"/>
      <c r="N765" s="79"/>
      <c r="Q765" s="67"/>
    </row>
    <row r="766" spans="1:17" ht="15.6">
      <c r="A766" s="67"/>
      <c r="B766" s="68"/>
      <c r="C766" s="40"/>
      <c r="D766" s="40"/>
      <c r="E766" s="40"/>
      <c r="F766" s="77"/>
      <c r="G766" s="77"/>
      <c r="H766" s="78"/>
      <c r="I766" s="6"/>
      <c r="J766" s="6"/>
      <c r="K766" s="79"/>
      <c r="N766" s="79"/>
      <c r="Q766" s="67"/>
    </row>
    <row r="767" spans="1:17" ht="15.6">
      <c r="A767" s="67"/>
      <c r="B767" s="68"/>
      <c r="C767" s="40"/>
      <c r="D767" s="40"/>
      <c r="E767" s="40"/>
      <c r="F767" s="77"/>
      <c r="G767" s="77"/>
      <c r="H767" s="78"/>
      <c r="I767" s="6"/>
      <c r="J767" s="6"/>
      <c r="K767" s="79"/>
      <c r="N767" s="79"/>
      <c r="Q767" s="67"/>
    </row>
    <row r="768" spans="1:17" ht="15.6">
      <c r="A768" s="67"/>
      <c r="B768" s="68"/>
      <c r="C768" s="40"/>
      <c r="D768" s="40"/>
      <c r="E768" s="40"/>
      <c r="F768" s="77"/>
      <c r="G768" s="77"/>
      <c r="H768" s="78"/>
      <c r="I768" s="6"/>
      <c r="J768" s="6"/>
      <c r="K768" s="79"/>
      <c r="N768" s="79"/>
      <c r="Q768" s="67"/>
    </row>
    <row r="769" spans="1:17" ht="15.6">
      <c r="A769" s="67"/>
      <c r="B769" s="68"/>
      <c r="C769" s="40"/>
      <c r="D769" s="40"/>
      <c r="E769" s="40"/>
      <c r="F769" s="77"/>
      <c r="G769" s="77"/>
      <c r="H769" s="78"/>
      <c r="I769" s="6"/>
      <c r="J769" s="6"/>
      <c r="K769" s="79"/>
      <c r="N769" s="79"/>
      <c r="Q769" s="67"/>
    </row>
    <row r="770" spans="1:17" ht="15.6">
      <c r="A770" s="67"/>
      <c r="B770" s="68"/>
      <c r="C770" s="40"/>
      <c r="D770" s="40"/>
      <c r="E770" s="40"/>
      <c r="F770" s="77"/>
      <c r="G770" s="77"/>
      <c r="H770" s="78"/>
      <c r="I770" s="6"/>
      <c r="J770" s="6"/>
      <c r="K770" s="79"/>
      <c r="N770" s="79"/>
      <c r="Q770" s="67"/>
    </row>
    <row r="771" spans="1:17" ht="15.6">
      <c r="A771" s="67"/>
      <c r="B771" s="68"/>
      <c r="C771" s="40"/>
      <c r="D771" s="40"/>
      <c r="E771" s="40"/>
      <c r="F771" s="77"/>
      <c r="G771" s="77"/>
      <c r="H771" s="78"/>
      <c r="I771" s="6"/>
      <c r="J771" s="6"/>
      <c r="K771" s="79"/>
      <c r="N771" s="79"/>
      <c r="Q771" s="67"/>
    </row>
    <row r="772" spans="1:17" ht="15.6">
      <c r="A772" s="67"/>
      <c r="B772" s="68"/>
      <c r="C772" s="40"/>
      <c r="D772" s="40"/>
      <c r="E772" s="40"/>
      <c r="F772" s="77"/>
      <c r="G772" s="77"/>
      <c r="H772" s="78"/>
      <c r="I772" s="6"/>
      <c r="J772" s="6"/>
      <c r="K772" s="79"/>
      <c r="N772" s="79"/>
      <c r="Q772" s="67"/>
    </row>
    <row r="773" spans="1:17" ht="15.6">
      <c r="A773" s="67"/>
      <c r="B773" s="68"/>
      <c r="C773" s="40"/>
      <c r="D773" s="40"/>
      <c r="E773" s="40"/>
      <c r="F773" s="77"/>
      <c r="G773" s="77"/>
      <c r="H773" s="78"/>
      <c r="I773" s="6"/>
      <c r="J773" s="6"/>
      <c r="K773" s="79"/>
      <c r="N773" s="79"/>
      <c r="Q773" s="67"/>
    </row>
    <row r="774" spans="1:17" ht="15.6">
      <c r="A774" s="67"/>
      <c r="B774" s="68"/>
      <c r="C774" s="40"/>
      <c r="D774" s="40"/>
      <c r="E774" s="40"/>
      <c r="F774" s="77"/>
      <c r="G774" s="77"/>
      <c r="H774" s="78"/>
      <c r="I774" s="6"/>
      <c r="J774" s="6"/>
      <c r="K774" s="79"/>
      <c r="N774" s="79"/>
      <c r="Q774" s="67"/>
    </row>
    <row r="775" spans="1:17" ht="15.6">
      <c r="A775" s="67"/>
      <c r="B775" s="68"/>
      <c r="C775" s="40"/>
      <c r="D775" s="40"/>
      <c r="E775" s="40"/>
      <c r="F775" s="77"/>
      <c r="G775" s="77"/>
      <c r="H775" s="78"/>
      <c r="I775" s="6"/>
      <c r="J775" s="6"/>
      <c r="K775" s="79"/>
      <c r="N775" s="79"/>
      <c r="Q775" s="67"/>
    </row>
    <row r="776" spans="1:17" ht="15.6">
      <c r="A776" s="67"/>
      <c r="B776" s="68"/>
      <c r="C776" s="40"/>
      <c r="D776" s="40"/>
      <c r="E776" s="40"/>
      <c r="F776" s="77"/>
      <c r="G776" s="77"/>
      <c r="H776" s="78"/>
      <c r="I776" s="6"/>
      <c r="J776" s="6"/>
      <c r="K776" s="79"/>
      <c r="N776" s="79"/>
      <c r="Q776" s="67"/>
    </row>
    <row r="777" spans="1:17" ht="15.6">
      <c r="A777" s="67"/>
      <c r="B777" s="68"/>
      <c r="C777" s="40"/>
      <c r="D777" s="40"/>
      <c r="E777" s="40"/>
      <c r="F777" s="77"/>
      <c r="G777" s="77"/>
      <c r="H777" s="78"/>
      <c r="I777" s="6"/>
      <c r="J777" s="6"/>
      <c r="K777" s="79"/>
      <c r="N777" s="79"/>
      <c r="Q777" s="67"/>
    </row>
    <row r="778" spans="1:17" ht="15.6">
      <c r="A778" s="67"/>
      <c r="B778" s="68"/>
      <c r="C778" s="40"/>
      <c r="D778" s="40"/>
      <c r="E778" s="40"/>
      <c r="F778" s="77"/>
      <c r="G778" s="77"/>
      <c r="H778" s="78"/>
      <c r="I778" s="6"/>
      <c r="J778" s="6"/>
      <c r="K778" s="79"/>
      <c r="N778" s="79"/>
      <c r="Q778" s="67"/>
    </row>
    <row r="779" spans="1:17" ht="15.6">
      <c r="A779" s="67"/>
      <c r="B779" s="68"/>
      <c r="C779" s="40"/>
      <c r="D779" s="40"/>
      <c r="E779" s="40"/>
      <c r="F779" s="77"/>
      <c r="G779" s="77"/>
      <c r="H779" s="78"/>
      <c r="I779" s="6"/>
      <c r="J779" s="6"/>
      <c r="K779" s="79"/>
      <c r="N779" s="79"/>
      <c r="Q779" s="67"/>
    </row>
    <row r="780" spans="1:17" ht="15.6">
      <c r="A780" s="67"/>
      <c r="B780" s="68"/>
      <c r="C780" s="40"/>
      <c r="D780" s="40"/>
      <c r="E780" s="40"/>
      <c r="F780" s="77"/>
      <c r="G780" s="77"/>
      <c r="H780" s="78"/>
      <c r="I780" s="6"/>
      <c r="J780" s="6"/>
      <c r="K780" s="79"/>
      <c r="N780" s="79"/>
      <c r="Q780" s="67"/>
    </row>
    <row r="781" spans="1:17" ht="15.6">
      <c r="A781" s="67"/>
      <c r="B781" s="68"/>
      <c r="C781" s="40"/>
      <c r="D781" s="40"/>
      <c r="E781" s="40"/>
      <c r="F781" s="77"/>
      <c r="G781" s="77"/>
      <c r="H781" s="78"/>
      <c r="I781" s="6"/>
      <c r="J781" s="6"/>
      <c r="K781" s="79"/>
      <c r="N781" s="79"/>
      <c r="Q781" s="67"/>
    </row>
    <row r="782" spans="1:17" ht="15.6">
      <c r="A782" s="67"/>
      <c r="B782" s="68"/>
      <c r="C782" s="40"/>
      <c r="D782" s="40"/>
      <c r="E782" s="40"/>
      <c r="F782" s="77"/>
      <c r="G782" s="77"/>
      <c r="H782" s="78"/>
      <c r="I782" s="6"/>
      <c r="J782" s="6"/>
      <c r="K782" s="79"/>
      <c r="N782" s="79"/>
      <c r="Q782" s="67"/>
    </row>
    <row r="783" spans="1:17" ht="15.6">
      <c r="A783" s="67"/>
      <c r="B783" s="68"/>
      <c r="C783" s="40"/>
      <c r="D783" s="40"/>
      <c r="E783" s="40"/>
      <c r="F783" s="77"/>
      <c r="G783" s="77"/>
      <c r="H783" s="78"/>
      <c r="I783" s="6"/>
      <c r="J783" s="6"/>
      <c r="K783" s="79"/>
      <c r="N783" s="79"/>
      <c r="Q783" s="67"/>
    </row>
    <row r="784" spans="1:17" ht="15.6">
      <c r="A784" s="67"/>
      <c r="B784" s="68"/>
      <c r="C784" s="40"/>
      <c r="D784" s="40"/>
      <c r="E784" s="40"/>
      <c r="F784" s="77"/>
      <c r="G784" s="77"/>
      <c r="H784" s="78"/>
      <c r="I784" s="6"/>
      <c r="J784" s="6"/>
      <c r="K784" s="79"/>
      <c r="N784" s="79"/>
      <c r="Q784" s="67"/>
    </row>
    <row r="785" spans="1:17" ht="15.6">
      <c r="A785" s="67"/>
      <c r="B785" s="68"/>
      <c r="C785" s="40"/>
      <c r="D785" s="40"/>
      <c r="E785" s="40"/>
      <c r="F785" s="77"/>
      <c r="G785" s="77"/>
      <c r="H785" s="78"/>
      <c r="I785" s="6"/>
      <c r="J785" s="6"/>
      <c r="K785" s="79"/>
      <c r="N785" s="79"/>
      <c r="Q785" s="67"/>
    </row>
    <row r="786" spans="1:17" ht="15.6">
      <c r="A786" s="67"/>
      <c r="B786" s="68"/>
      <c r="C786" s="40"/>
      <c r="D786" s="40"/>
      <c r="E786" s="40"/>
      <c r="F786" s="77"/>
      <c r="G786" s="77"/>
      <c r="H786" s="78"/>
      <c r="I786" s="6"/>
      <c r="J786" s="6"/>
      <c r="K786" s="79"/>
      <c r="N786" s="79"/>
      <c r="Q786" s="67"/>
    </row>
    <row r="787" spans="1:17" ht="15.6">
      <c r="A787" s="67"/>
      <c r="B787" s="68"/>
      <c r="C787" s="40"/>
      <c r="D787" s="40"/>
      <c r="E787" s="40"/>
      <c r="F787" s="77"/>
      <c r="G787" s="77"/>
      <c r="H787" s="78"/>
      <c r="I787" s="6"/>
      <c r="J787" s="6"/>
      <c r="K787" s="79"/>
      <c r="N787" s="79"/>
      <c r="Q787" s="67"/>
    </row>
    <row r="788" spans="1:17" ht="15.6">
      <c r="A788" s="67"/>
      <c r="B788" s="68"/>
      <c r="C788" s="40"/>
      <c r="D788" s="40"/>
      <c r="E788" s="40"/>
      <c r="F788" s="77"/>
      <c r="G788" s="77"/>
      <c r="H788" s="78"/>
      <c r="I788" s="6"/>
      <c r="J788" s="6"/>
      <c r="K788" s="79"/>
      <c r="N788" s="79"/>
      <c r="Q788" s="67"/>
    </row>
    <row r="789" spans="1:17" ht="15.6">
      <c r="A789" s="67"/>
      <c r="B789" s="68"/>
      <c r="C789" s="40"/>
      <c r="D789" s="40"/>
      <c r="E789" s="40"/>
      <c r="F789" s="77"/>
      <c r="G789" s="77"/>
      <c r="H789" s="78"/>
      <c r="I789" s="6"/>
      <c r="J789" s="6"/>
      <c r="K789" s="79"/>
      <c r="N789" s="79"/>
      <c r="Q789" s="67"/>
    </row>
    <row r="790" spans="1:17" ht="15.6">
      <c r="A790" s="67"/>
      <c r="B790" s="68"/>
      <c r="C790" s="40"/>
      <c r="D790" s="40"/>
      <c r="E790" s="40"/>
      <c r="F790" s="77"/>
      <c r="G790" s="77"/>
      <c r="H790" s="78"/>
      <c r="I790" s="6"/>
      <c r="J790" s="6"/>
      <c r="K790" s="79"/>
      <c r="N790" s="79"/>
      <c r="Q790" s="67"/>
    </row>
    <row r="791" spans="1:17" ht="15.6">
      <c r="A791" s="67"/>
      <c r="B791" s="68"/>
      <c r="C791" s="40"/>
      <c r="D791" s="40"/>
      <c r="E791" s="40"/>
      <c r="F791" s="77"/>
      <c r="G791" s="77"/>
      <c r="H791" s="78"/>
      <c r="I791" s="6"/>
      <c r="J791" s="6"/>
      <c r="K791" s="79"/>
      <c r="N791" s="79"/>
      <c r="Q791" s="67"/>
    </row>
    <row r="792" spans="1:17" ht="15.6">
      <c r="A792" s="67"/>
      <c r="B792" s="68"/>
      <c r="C792" s="40"/>
      <c r="D792" s="40"/>
      <c r="E792" s="40"/>
      <c r="F792" s="77"/>
      <c r="G792" s="77"/>
      <c r="H792" s="78"/>
      <c r="I792" s="6"/>
      <c r="J792" s="6"/>
      <c r="K792" s="79"/>
      <c r="N792" s="79"/>
      <c r="Q792" s="67"/>
    </row>
    <row r="793" spans="1:17" ht="15.6">
      <c r="A793" s="67"/>
      <c r="B793" s="68"/>
      <c r="C793" s="40"/>
      <c r="D793" s="40"/>
      <c r="E793" s="40"/>
      <c r="F793" s="77"/>
      <c r="G793" s="77"/>
      <c r="H793" s="78"/>
      <c r="I793" s="6"/>
      <c r="J793" s="6"/>
      <c r="K793" s="79"/>
      <c r="N793" s="79"/>
      <c r="Q793" s="67"/>
    </row>
    <row r="794" spans="1:17" ht="15.6">
      <c r="A794" s="67"/>
      <c r="B794" s="68"/>
      <c r="C794" s="40"/>
      <c r="D794" s="40"/>
      <c r="E794" s="40"/>
      <c r="F794" s="77"/>
      <c r="G794" s="77"/>
      <c r="H794" s="78"/>
      <c r="I794" s="6"/>
      <c r="J794" s="6"/>
      <c r="K794" s="79"/>
      <c r="N794" s="79"/>
      <c r="Q794" s="67"/>
    </row>
    <row r="795" spans="1:17" ht="15.6">
      <c r="A795" s="67"/>
      <c r="B795" s="68"/>
      <c r="C795" s="40"/>
      <c r="D795" s="40"/>
      <c r="E795" s="40"/>
      <c r="F795" s="77"/>
      <c r="G795" s="77"/>
      <c r="H795" s="78"/>
      <c r="I795" s="6"/>
      <c r="J795" s="6"/>
      <c r="K795" s="79"/>
      <c r="N795" s="79"/>
      <c r="Q795" s="67"/>
    </row>
    <row r="796" spans="1:17" ht="15.6">
      <c r="A796" s="67"/>
      <c r="B796" s="68"/>
      <c r="C796" s="40"/>
      <c r="D796" s="40"/>
      <c r="E796" s="40"/>
      <c r="F796" s="77"/>
      <c r="G796" s="77"/>
      <c r="H796" s="78"/>
      <c r="I796" s="6"/>
      <c r="J796" s="6"/>
      <c r="K796" s="79"/>
      <c r="N796" s="79"/>
      <c r="Q796" s="67"/>
    </row>
    <row r="797" spans="1:17" ht="15.6">
      <c r="A797" s="67"/>
      <c r="B797" s="68"/>
      <c r="C797" s="40"/>
      <c r="D797" s="40"/>
      <c r="E797" s="40"/>
      <c r="F797" s="77"/>
      <c r="G797" s="77"/>
      <c r="H797" s="78"/>
      <c r="I797" s="6"/>
      <c r="J797" s="6"/>
      <c r="K797" s="79"/>
      <c r="N797" s="79"/>
      <c r="Q797" s="67"/>
    </row>
    <row r="798" spans="1:17" ht="15.6">
      <c r="A798" s="67"/>
      <c r="B798" s="68"/>
      <c r="C798" s="40"/>
      <c r="D798" s="40"/>
      <c r="E798" s="40"/>
      <c r="F798" s="77"/>
      <c r="G798" s="77"/>
      <c r="H798" s="78"/>
      <c r="I798" s="6"/>
      <c r="J798" s="6"/>
      <c r="K798" s="79"/>
      <c r="N798" s="79"/>
      <c r="Q798" s="67"/>
    </row>
    <row r="799" spans="1:17" ht="15.6">
      <c r="A799" s="67"/>
      <c r="B799" s="68"/>
      <c r="C799" s="40"/>
      <c r="D799" s="40"/>
      <c r="E799" s="40"/>
      <c r="F799" s="77"/>
      <c r="G799" s="77"/>
      <c r="H799" s="78"/>
      <c r="I799" s="6"/>
      <c r="J799" s="6"/>
      <c r="K799" s="79"/>
      <c r="N799" s="79"/>
      <c r="Q799" s="67"/>
    </row>
    <row r="800" spans="1:17" ht="15.6">
      <c r="A800" s="67"/>
      <c r="B800" s="68"/>
      <c r="C800" s="40"/>
      <c r="D800" s="40"/>
      <c r="E800" s="40"/>
      <c r="F800" s="77"/>
      <c r="G800" s="77"/>
      <c r="H800" s="78"/>
      <c r="I800" s="6"/>
      <c r="J800" s="6"/>
      <c r="K800" s="79"/>
      <c r="N800" s="79"/>
      <c r="Q800" s="67"/>
    </row>
    <row r="801" spans="1:17" ht="15.6">
      <c r="A801" s="67"/>
      <c r="B801" s="68"/>
      <c r="C801" s="40"/>
      <c r="D801" s="40"/>
      <c r="E801" s="40"/>
      <c r="F801" s="77"/>
      <c r="G801" s="77"/>
      <c r="H801" s="78"/>
      <c r="I801" s="6"/>
      <c r="J801" s="6"/>
      <c r="K801" s="79"/>
      <c r="N801" s="79"/>
      <c r="Q801" s="67"/>
    </row>
    <row r="802" spans="1:17" ht="15.6">
      <c r="A802" s="67"/>
      <c r="B802" s="68"/>
      <c r="C802" s="40"/>
      <c r="D802" s="40"/>
      <c r="E802" s="40"/>
      <c r="F802" s="77"/>
      <c r="G802" s="77"/>
      <c r="H802" s="78"/>
      <c r="I802" s="6"/>
      <c r="J802" s="6"/>
      <c r="K802" s="79"/>
      <c r="N802" s="79"/>
      <c r="Q802" s="67"/>
    </row>
    <row r="803" spans="1:17" ht="15.6">
      <c r="A803" s="67"/>
      <c r="B803" s="68"/>
      <c r="C803" s="40"/>
      <c r="D803" s="40"/>
      <c r="E803" s="40"/>
      <c r="F803" s="77"/>
      <c r="G803" s="77"/>
      <c r="H803" s="78"/>
      <c r="I803" s="6"/>
      <c r="J803" s="6"/>
      <c r="K803" s="79"/>
      <c r="N803" s="79"/>
      <c r="Q803" s="67"/>
    </row>
    <row r="804" spans="1:17" ht="15.6">
      <c r="A804" s="67"/>
      <c r="B804" s="68"/>
      <c r="C804" s="40"/>
      <c r="D804" s="40"/>
      <c r="E804" s="40"/>
      <c r="F804" s="77"/>
      <c r="G804" s="77"/>
      <c r="H804" s="78"/>
      <c r="I804" s="6"/>
      <c r="J804" s="6"/>
      <c r="K804" s="79"/>
      <c r="N804" s="79"/>
      <c r="Q804" s="67"/>
    </row>
    <row r="805" spans="1:17" ht="15.6">
      <c r="A805" s="67"/>
      <c r="B805" s="68"/>
      <c r="C805" s="40"/>
      <c r="D805" s="40"/>
      <c r="E805" s="40"/>
      <c r="F805" s="77"/>
      <c r="G805" s="77"/>
      <c r="H805" s="78"/>
      <c r="I805" s="6"/>
      <c r="J805" s="6"/>
      <c r="K805" s="79"/>
      <c r="N805" s="79"/>
      <c r="Q805" s="67"/>
    </row>
    <row r="806" spans="1:17" ht="15.6">
      <c r="A806" s="67"/>
      <c r="B806" s="68"/>
      <c r="C806" s="40"/>
      <c r="D806" s="40"/>
      <c r="E806" s="40"/>
      <c r="F806" s="77"/>
      <c r="G806" s="77"/>
      <c r="H806" s="78"/>
      <c r="I806" s="6"/>
      <c r="J806" s="6"/>
      <c r="K806" s="79"/>
      <c r="N806" s="79"/>
      <c r="Q806" s="67"/>
    </row>
    <row r="807" spans="1:17" ht="15.6">
      <c r="A807" s="67"/>
      <c r="B807" s="68"/>
      <c r="C807" s="40"/>
      <c r="D807" s="40"/>
      <c r="E807" s="40"/>
      <c r="F807" s="77"/>
      <c r="G807" s="77"/>
      <c r="H807" s="78"/>
      <c r="I807" s="6"/>
      <c r="J807" s="6"/>
      <c r="K807" s="79"/>
      <c r="N807" s="79"/>
      <c r="Q807" s="67"/>
    </row>
    <row r="808" spans="1:17" ht="15.6">
      <c r="A808" s="67"/>
      <c r="B808" s="68"/>
      <c r="C808" s="40"/>
      <c r="D808" s="40"/>
      <c r="E808" s="40"/>
      <c r="F808" s="77"/>
      <c r="G808" s="77"/>
      <c r="H808" s="78"/>
      <c r="I808" s="6"/>
      <c r="J808" s="6"/>
      <c r="K808" s="79"/>
      <c r="N808" s="79"/>
      <c r="Q808" s="67"/>
    </row>
    <row r="809" spans="1:17" ht="15.6">
      <c r="A809" s="67"/>
      <c r="B809" s="68"/>
      <c r="C809" s="40"/>
      <c r="D809" s="40"/>
      <c r="E809" s="40"/>
      <c r="F809" s="77"/>
      <c r="G809" s="77"/>
      <c r="H809" s="78"/>
      <c r="I809" s="6"/>
      <c r="J809" s="6"/>
      <c r="K809" s="79"/>
      <c r="N809" s="79"/>
      <c r="Q809" s="67"/>
    </row>
    <row r="810" spans="1:17" ht="15.6">
      <c r="A810" s="67"/>
      <c r="B810" s="68"/>
      <c r="C810" s="40"/>
      <c r="D810" s="40"/>
      <c r="E810" s="40"/>
      <c r="F810" s="77"/>
      <c r="G810" s="77"/>
      <c r="H810" s="78"/>
      <c r="I810" s="6"/>
      <c r="J810" s="6"/>
      <c r="K810" s="79"/>
      <c r="N810" s="79"/>
      <c r="Q810" s="67"/>
    </row>
    <row r="811" spans="1:17" ht="15.6">
      <c r="A811" s="67"/>
      <c r="B811" s="68"/>
      <c r="C811" s="40"/>
      <c r="D811" s="40"/>
      <c r="E811" s="40"/>
      <c r="F811" s="77"/>
      <c r="G811" s="77"/>
      <c r="H811" s="78"/>
      <c r="I811" s="6"/>
      <c r="J811" s="6"/>
      <c r="K811" s="79"/>
      <c r="N811" s="79"/>
      <c r="Q811" s="67"/>
    </row>
    <row r="812" spans="1:17" ht="15.6">
      <c r="A812" s="67"/>
      <c r="B812" s="68"/>
      <c r="C812" s="40"/>
      <c r="D812" s="40"/>
      <c r="E812" s="40"/>
      <c r="F812" s="77"/>
      <c r="G812" s="77"/>
      <c r="H812" s="78"/>
      <c r="I812" s="6"/>
      <c r="J812" s="6"/>
      <c r="K812" s="79"/>
      <c r="N812" s="79"/>
      <c r="Q812" s="67"/>
    </row>
    <row r="813" spans="1:17" ht="15.6">
      <c r="A813" s="67"/>
      <c r="B813" s="68"/>
      <c r="C813" s="40"/>
      <c r="D813" s="40"/>
      <c r="E813" s="40"/>
      <c r="F813" s="77"/>
      <c r="G813" s="77"/>
      <c r="H813" s="78"/>
      <c r="I813" s="6"/>
      <c r="J813" s="6"/>
      <c r="K813" s="79"/>
      <c r="N813" s="79"/>
      <c r="Q813" s="67"/>
    </row>
    <row r="814" spans="1:17" ht="15.6">
      <c r="A814" s="67"/>
      <c r="B814" s="68"/>
      <c r="C814" s="40"/>
      <c r="D814" s="40"/>
      <c r="E814" s="40"/>
      <c r="F814" s="77"/>
      <c r="G814" s="77"/>
      <c r="H814" s="78"/>
      <c r="I814" s="6"/>
      <c r="J814" s="6"/>
      <c r="K814" s="79"/>
      <c r="N814" s="79"/>
      <c r="Q814" s="67"/>
    </row>
    <row r="815" spans="1:17" ht="15.6">
      <c r="A815" s="67"/>
      <c r="B815" s="68"/>
      <c r="C815" s="40"/>
      <c r="D815" s="40"/>
      <c r="E815" s="40"/>
      <c r="F815" s="77"/>
      <c r="G815" s="77"/>
      <c r="H815" s="78"/>
      <c r="I815" s="6"/>
      <c r="J815" s="6"/>
      <c r="K815" s="79"/>
      <c r="N815" s="79"/>
      <c r="Q815" s="67"/>
    </row>
    <row r="816" spans="1:17" ht="15.6">
      <c r="A816" s="67"/>
      <c r="B816" s="68"/>
      <c r="C816" s="40"/>
      <c r="D816" s="40"/>
      <c r="E816" s="40"/>
      <c r="F816" s="77"/>
      <c r="G816" s="77"/>
      <c r="H816" s="78"/>
      <c r="I816" s="6"/>
      <c r="J816" s="6"/>
      <c r="K816" s="79"/>
      <c r="N816" s="79"/>
      <c r="Q816" s="67"/>
    </row>
    <row r="817" spans="1:17" ht="15.6">
      <c r="A817" s="67"/>
      <c r="B817" s="68"/>
      <c r="C817" s="40"/>
      <c r="D817" s="40"/>
      <c r="E817" s="40"/>
      <c r="F817" s="77"/>
      <c r="G817" s="77"/>
      <c r="H817" s="78"/>
      <c r="I817" s="6"/>
      <c r="J817" s="6"/>
      <c r="K817" s="79"/>
      <c r="N817" s="79"/>
      <c r="Q817" s="67"/>
    </row>
    <row r="818" spans="1:17" ht="15.6">
      <c r="A818" s="67"/>
      <c r="B818" s="68"/>
      <c r="C818" s="40"/>
      <c r="D818" s="40"/>
      <c r="E818" s="40"/>
      <c r="F818" s="77"/>
      <c r="G818" s="77"/>
      <c r="H818" s="78"/>
      <c r="I818" s="6"/>
      <c r="J818" s="6"/>
      <c r="K818" s="79"/>
      <c r="N818" s="79"/>
      <c r="Q818" s="67"/>
    </row>
    <row r="819" spans="1:17" ht="15.6">
      <c r="A819" s="67"/>
      <c r="B819" s="68"/>
      <c r="C819" s="40"/>
      <c r="D819" s="40"/>
      <c r="E819" s="40"/>
      <c r="F819" s="77"/>
      <c r="G819" s="77"/>
      <c r="H819" s="78"/>
      <c r="I819" s="6"/>
      <c r="J819" s="6"/>
      <c r="K819" s="79"/>
      <c r="N819" s="79"/>
      <c r="Q819" s="67"/>
    </row>
    <row r="820" spans="1:17" ht="15.6">
      <c r="A820" s="67"/>
      <c r="B820" s="68"/>
      <c r="C820" s="40"/>
      <c r="D820" s="40"/>
      <c r="E820" s="40"/>
      <c r="F820" s="77"/>
      <c r="G820" s="77"/>
      <c r="H820" s="78"/>
      <c r="I820" s="6"/>
      <c r="J820" s="6"/>
      <c r="K820" s="79"/>
      <c r="N820" s="79"/>
      <c r="Q820" s="67"/>
    </row>
    <row r="821" spans="1:17" ht="15.6">
      <c r="A821" s="67"/>
      <c r="B821" s="68"/>
      <c r="C821" s="40"/>
      <c r="D821" s="40"/>
      <c r="E821" s="40"/>
      <c r="F821" s="77"/>
      <c r="G821" s="77"/>
      <c r="H821" s="78"/>
      <c r="I821" s="6"/>
      <c r="J821" s="6"/>
      <c r="K821" s="79"/>
      <c r="N821" s="79"/>
      <c r="Q821" s="67"/>
    </row>
    <row r="822" spans="1:17" ht="15.6">
      <c r="A822" s="67"/>
      <c r="B822" s="68"/>
      <c r="C822" s="40"/>
      <c r="D822" s="40"/>
      <c r="E822" s="40"/>
      <c r="F822" s="77"/>
      <c r="G822" s="77"/>
      <c r="H822" s="78"/>
      <c r="I822" s="6"/>
      <c r="J822" s="6"/>
      <c r="K822" s="79"/>
      <c r="N822" s="79"/>
      <c r="Q822" s="67"/>
    </row>
    <row r="823" spans="1:17" ht="15.6">
      <c r="A823" s="67"/>
      <c r="B823" s="68"/>
      <c r="C823" s="40"/>
      <c r="D823" s="40"/>
      <c r="E823" s="40"/>
      <c r="F823" s="77"/>
      <c r="G823" s="77"/>
      <c r="H823" s="78"/>
      <c r="I823" s="6"/>
      <c r="J823" s="6"/>
      <c r="K823" s="79"/>
      <c r="N823" s="79"/>
      <c r="Q823" s="67"/>
    </row>
    <row r="824" spans="1:17" ht="15.6">
      <c r="A824" s="67"/>
      <c r="B824" s="68"/>
      <c r="C824" s="40"/>
      <c r="D824" s="40"/>
      <c r="E824" s="40"/>
      <c r="F824" s="77"/>
      <c r="G824" s="77"/>
      <c r="H824" s="78"/>
      <c r="I824" s="6"/>
      <c r="J824" s="6"/>
      <c r="K824" s="79"/>
      <c r="N824" s="79"/>
      <c r="Q824" s="67"/>
    </row>
    <row r="825" spans="1:17" ht="15.6">
      <c r="A825" s="67"/>
      <c r="B825" s="68"/>
      <c r="C825" s="40"/>
      <c r="D825" s="40"/>
      <c r="E825" s="40"/>
      <c r="F825" s="77"/>
      <c r="G825" s="77"/>
      <c r="H825" s="78"/>
      <c r="I825" s="6"/>
      <c r="J825" s="6"/>
      <c r="K825" s="79"/>
      <c r="N825" s="79"/>
      <c r="Q825" s="67"/>
    </row>
    <row r="826" spans="1:17" ht="15.6">
      <c r="A826" s="67"/>
      <c r="B826" s="68"/>
      <c r="C826" s="40"/>
      <c r="D826" s="40"/>
      <c r="E826" s="40"/>
      <c r="F826" s="77"/>
      <c r="G826" s="77"/>
      <c r="H826" s="78"/>
      <c r="I826" s="6"/>
      <c r="J826" s="6"/>
      <c r="K826" s="79"/>
      <c r="N826" s="79"/>
      <c r="Q826" s="67"/>
    </row>
    <row r="827" spans="1:17" ht="15.6">
      <c r="A827" s="67"/>
      <c r="B827" s="68"/>
      <c r="C827" s="40"/>
      <c r="D827" s="40"/>
      <c r="E827" s="40"/>
      <c r="F827" s="77"/>
      <c r="G827" s="77"/>
      <c r="H827" s="78"/>
      <c r="I827" s="6"/>
      <c r="J827" s="6"/>
      <c r="K827" s="79"/>
      <c r="N827" s="79"/>
      <c r="Q827" s="67"/>
    </row>
    <row r="828" spans="1:17" ht="15.6">
      <c r="A828" s="67"/>
      <c r="B828" s="68"/>
      <c r="C828" s="40"/>
      <c r="D828" s="40"/>
      <c r="E828" s="40"/>
      <c r="F828" s="77"/>
      <c r="G828" s="77"/>
      <c r="H828" s="78"/>
      <c r="I828" s="6"/>
      <c r="J828" s="6"/>
      <c r="K828" s="79"/>
      <c r="N828" s="79"/>
      <c r="Q828" s="67"/>
    </row>
    <row r="829" spans="1:17" ht="15.6">
      <c r="A829" s="67"/>
      <c r="B829" s="68"/>
      <c r="C829" s="40"/>
      <c r="D829" s="40"/>
      <c r="E829" s="40"/>
      <c r="F829" s="77"/>
      <c r="G829" s="77"/>
      <c r="H829" s="78"/>
      <c r="I829" s="6"/>
      <c r="J829" s="6"/>
      <c r="K829" s="79"/>
      <c r="N829" s="79"/>
      <c r="Q829" s="67"/>
    </row>
    <row r="830" spans="1:17" ht="15.6">
      <c r="A830" s="67"/>
      <c r="B830" s="68"/>
      <c r="C830" s="40"/>
      <c r="D830" s="40"/>
      <c r="E830" s="40"/>
      <c r="F830" s="77"/>
      <c r="G830" s="77"/>
      <c r="H830" s="78"/>
      <c r="I830" s="6"/>
      <c r="J830" s="6"/>
      <c r="K830" s="79"/>
      <c r="N830" s="79"/>
      <c r="Q830" s="67"/>
    </row>
    <row r="831" spans="1:17" ht="15.6">
      <c r="A831" s="67"/>
      <c r="B831" s="68"/>
      <c r="C831" s="40"/>
      <c r="D831" s="40"/>
      <c r="E831" s="40"/>
      <c r="F831" s="77"/>
      <c r="G831" s="77"/>
      <c r="H831" s="78"/>
      <c r="I831" s="6"/>
      <c r="J831" s="6"/>
      <c r="K831" s="79"/>
      <c r="N831" s="79"/>
      <c r="Q831" s="67"/>
    </row>
    <row r="832" spans="1:17" ht="15.6">
      <c r="A832" s="67"/>
      <c r="B832" s="68"/>
      <c r="C832" s="40"/>
      <c r="D832" s="40"/>
      <c r="E832" s="40"/>
      <c r="F832" s="77"/>
      <c r="G832" s="77"/>
      <c r="H832" s="78"/>
      <c r="I832" s="6"/>
      <c r="J832" s="6"/>
      <c r="K832" s="79"/>
      <c r="N832" s="79"/>
      <c r="Q832" s="67"/>
    </row>
    <row r="833" spans="1:17" ht="15.6">
      <c r="A833" s="67"/>
      <c r="B833" s="68"/>
      <c r="C833" s="40"/>
      <c r="D833" s="40"/>
      <c r="E833" s="40"/>
      <c r="F833" s="77"/>
      <c r="G833" s="77"/>
      <c r="H833" s="78"/>
      <c r="I833" s="6"/>
      <c r="J833" s="6"/>
      <c r="K833" s="79"/>
      <c r="N833" s="79"/>
      <c r="Q833" s="67"/>
    </row>
    <row r="834" spans="1:17" ht="15.6">
      <c r="A834" s="67"/>
      <c r="B834" s="68"/>
      <c r="C834" s="40"/>
      <c r="D834" s="40"/>
      <c r="E834" s="40"/>
      <c r="F834" s="77"/>
      <c r="G834" s="77"/>
      <c r="H834" s="78"/>
      <c r="I834" s="6"/>
      <c r="J834" s="6"/>
      <c r="K834" s="79"/>
      <c r="N834" s="79"/>
      <c r="Q834" s="67"/>
    </row>
    <row r="835" spans="1:17" ht="15.6">
      <c r="A835" s="67"/>
      <c r="B835" s="68"/>
      <c r="C835" s="40"/>
      <c r="D835" s="40"/>
      <c r="E835" s="40"/>
      <c r="F835" s="77"/>
      <c r="G835" s="77"/>
      <c r="H835" s="78"/>
      <c r="I835" s="6"/>
      <c r="J835" s="6"/>
      <c r="K835" s="79"/>
      <c r="N835" s="79"/>
      <c r="Q835" s="67"/>
    </row>
    <row r="836" spans="1:17" ht="15.6">
      <c r="A836" s="67"/>
      <c r="B836" s="68"/>
      <c r="C836" s="40"/>
      <c r="D836" s="40"/>
      <c r="E836" s="40"/>
      <c r="F836" s="77"/>
      <c r="G836" s="77"/>
      <c r="H836" s="78"/>
      <c r="I836" s="6"/>
      <c r="J836" s="6"/>
      <c r="K836" s="79"/>
      <c r="N836" s="79"/>
      <c r="Q836" s="67"/>
    </row>
    <row r="837" spans="1:17" ht="15.6">
      <c r="A837" s="67"/>
      <c r="B837" s="68"/>
      <c r="C837" s="40"/>
      <c r="D837" s="40"/>
      <c r="E837" s="40"/>
      <c r="F837" s="77"/>
      <c r="G837" s="77"/>
      <c r="H837" s="78"/>
      <c r="I837" s="6"/>
      <c r="J837" s="6"/>
      <c r="K837" s="79"/>
      <c r="N837" s="79"/>
      <c r="Q837" s="67"/>
    </row>
    <row r="838" spans="1:17" ht="15.6">
      <c r="A838" s="67"/>
      <c r="B838" s="68"/>
      <c r="C838" s="40"/>
      <c r="D838" s="40"/>
      <c r="E838" s="40"/>
      <c r="F838" s="77"/>
      <c r="G838" s="77"/>
      <c r="H838" s="78"/>
      <c r="I838" s="6"/>
      <c r="J838" s="6"/>
      <c r="K838" s="79"/>
      <c r="N838" s="79"/>
      <c r="Q838" s="67"/>
    </row>
    <row r="839" spans="1:17" ht="15.6">
      <c r="A839" s="67"/>
      <c r="B839" s="68"/>
      <c r="C839" s="40"/>
      <c r="D839" s="40"/>
      <c r="E839" s="40"/>
      <c r="F839" s="77"/>
      <c r="G839" s="77"/>
      <c r="H839" s="78"/>
      <c r="I839" s="6"/>
      <c r="J839" s="6"/>
      <c r="K839" s="79"/>
      <c r="N839" s="79"/>
      <c r="Q839" s="67"/>
    </row>
    <row r="840" spans="1:17" ht="15.6">
      <c r="A840" s="67"/>
      <c r="B840" s="68"/>
      <c r="C840" s="40"/>
      <c r="D840" s="40"/>
      <c r="E840" s="40"/>
      <c r="F840" s="77"/>
      <c r="G840" s="77"/>
      <c r="H840" s="78"/>
      <c r="I840" s="6"/>
      <c r="J840" s="6"/>
      <c r="K840" s="79"/>
      <c r="N840" s="79"/>
      <c r="Q840" s="67"/>
    </row>
    <row r="841" spans="1:17" ht="15.6">
      <c r="A841" s="67"/>
      <c r="B841" s="68"/>
      <c r="C841" s="40"/>
      <c r="D841" s="40"/>
      <c r="E841" s="40"/>
      <c r="F841" s="77"/>
      <c r="G841" s="77"/>
      <c r="H841" s="78"/>
      <c r="I841" s="6"/>
      <c r="J841" s="6"/>
      <c r="K841" s="79"/>
      <c r="N841" s="79"/>
      <c r="Q841" s="67"/>
    </row>
    <row r="842" spans="1:17" ht="15.6">
      <c r="A842" s="67"/>
      <c r="B842" s="68"/>
      <c r="C842" s="40"/>
      <c r="D842" s="40"/>
      <c r="E842" s="40"/>
      <c r="F842" s="77"/>
      <c r="G842" s="77"/>
      <c r="H842" s="78"/>
      <c r="I842" s="6"/>
      <c r="J842" s="6"/>
      <c r="K842" s="79"/>
      <c r="N842" s="79"/>
      <c r="Q842" s="67"/>
    </row>
    <row r="843" spans="1:17" ht="15.6">
      <c r="A843" s="67"/>
      <c r="B843" s="68"/>
      <c r="C843" s="40"/>
      <c r="D843" s="40"/>
      <c r="E843" s="40"/>
      <c r="F843" s="77"/>
      <c r="G843" s="77"/>
      <c r="H843" s="78"/>
      <c r="I843" s="6"/>
      <c r="J843" s="6"/>
      <c r="K843" s="79"/>
      <c r="N843" s="79"/>
      <c r="Q843" s="67"/>
    </row>
    <row r="844" spans="1:17" ht="15.6">
      <c r="A844" s="67"/>
      <c r="B844" s="68"/>
      <c r="C844" s="40"/>
      <c r="D844" s="40"/>
      <c r="E844" s="40"/>
      <c r="F844" s="77"/>
      <c r="G844" s="77"/>
      <c r="H844" s="78"/>
      <c r="I844" s="6"/>
      <c r="J844" s="6"/>
      <c r="K844" s="79"/>
      <c r="N844" s="79"/>
      <c r="Q844" s="67"/>
    </row>
    <row r="845" spans="1:17" ht="15.6">
      <c r="A845" s="67"/>
      <c r="B845" s="68"/>
      <c r="C845" s="40"/>
      <c r="D845" s="40"/>
      <c r="E845" s="40"/>
      <c r="F845" s="77"/>
      <c r="G845" s="77"/>
      <c r="H845" s="78"/>
      <c r="I845" s="6"/>
      <c r="J845" s="6"/>
      <c r="K845" s="79"/>
      <c r="N845" s="79"/>
      <c r="Q845" s="67"/>
    </row>
    <row r="846" spans="1:17" ht="15.6">
      <c r="A846" s="67"/>
      <c r="B846" s="68"/>
      <c r="C846" s="40"/>
      <c r="D846" s="40"/>
      <c r="E846" s="40"/>
      <c r="F846" s="77"/>
      <c r="G846" s="77"/>
      <c r="H846" s="78"/>
      <c r="I846" s="6"/>
      <c r="J846" s="6"/>
      <c r="K846" s="79"/>
      <c r="N846" s="79"/>
      <c r="Q846" s="67"/>
    </row>
    <row r="847" spans="1:17" ht="15.6">
      <c r="A847" s="67"/>
      <c r="B847" s="68"/>
      <c r="C847" s="40"/>
      <c r="D847" s="40"/>
      <c r="E847" s="40"/>
      <c r="F847" s="77"/>
      <c r="G847" s="77"/>
      <c r="H847" s="78"/>
      <c r="I847" s="6"/>
      <c r="J847" s="6"/>
      <c r="K847" s="79"/>
      <c r="N847" s="79"/>
      <c r="Q847" s="67"/>
    </row>
    <row r="848" spans="1:17" ht="15.6">
      <c r="A848" s="67"/>
      <c r="B848" s="68"/>
      <c r="C848" s="40"/>
      <c r="D848" s="40"/>
      <c r="E848" s="40"/>
      <c r="F848" s="77"/>
      <c r="G848" s="77"/>
      <c r="H848" s="78"/>
      <c r="I848" s="6"/>
      <c r="J848" s="6"/>
      <c r="K848" s="79"/>
      <c r="N848" s="79"/>
      <c r="Q848" s="67"/>
    </row>
    <row r="849" spans="1:17" ht="15.6">
      <c r="A849" s="67"/>
      <c r="B849" s="68"/>
      <c r="C849" s="40"/>
      <c r="D849" s="40"/>
      <c r="E849" s="40"/>
      <c r="F849" s="77"/>
      <c r="G849" s="77"/>
      <c r="H849" s="78"/>
      <c r="I849" s="6"/>
      <c r="J849" s="6"/>
      <c r="K849" s="79"/>
      <c r="N849" s="79"/>
      <c r="Q849" s="67"/>
    </row>
    <row r="850" spans="1:17" ht="15.6">
      <c r="A850" s="67"/>
      <c r="B850" s="68"/>
      <c r="C850" s="40"/>
      <c r="D850" s="40"/>
      <c r="E850" s="40"/>
      <c r="F850" s="77"/>
      <c r="G850" s="77"/>
      <c r="H850" s="78"/>
      <c r="I850" s="6"/>
      <c r="J850" s="6"/>
      <c r="K850" s="79"/>
      <c r="N850" s="79"/>
      <c r="Q850" s="67"/>
    </row>
    <row r="851" spans="1:17" ht="15.6">
      <c r="A851" s="67"/>
      <c r="B851" s="68"/>
      <c r="C851" s="40"/>
      <c r="D851" s="40"/>
      <c r="E851" s="40"/>
      <c r="F851" s="77"/>
      <c r="G851" s="77"/>
      <c r="H851" s="78"/>
      <c r="I851" s="6"/>
      <c r="J851" s="6"/>
      <c r="K851" s="79"/>
      <c r="N851" s="79"/>
      <c r="Q851" s="67"/>
    </row>
    <row r="852" spans="1:17" ht="15.6">
      <c r="A852" s="67"/>
      <c r="B852" s="68"/>
      <c r="C852" s="40"/>
      <c r="D852" s="40"/>
      <c r="E852" s="40"/>
      <c r="F852" s="77"/>
      <c r="G852" s="77"/>
      <c r="H852" s="78"/>
      <c r="I852" s="6"/>
      <c r="J852" s="6"/>
      <c r="K852" s="79"/>
      <c r="N852" s="79"/>
      <c r="Q852" s="67"/>
    </row>
    <row r="853" spans="1:17" ht="15.6">
      <c r="A853" s="67"/>
      <c r="B853" s="68"/>
      <c r="C853" s="40"/>
      <c r="D853" s="40"/>
      <c r="E853" s="40"/>
      <c r="F853" s="77"/>
      <c r="G853" s="77"/>
      <c r="H853" s="78"/>
      <c r="I853" s="6"/>
      <c r="J853" s="6"/>
      <c r="K853" s="79"/>
      <c r="N853" s="79"/>
      <c r="Q853" s="67"/>
    </row>
    <row r="854" spans="1:17" ht="15.6">
      <c r="A854" s="67"/>
      <c r="B854" s="68"/>
      <c r="C854" s="40"/>
      <c r="D854" s="40"/>
      <c r="E854" s="40"/>
      <c r="F854" s="77"/>
      <c r="G854" s="77"/>
      <c r="H854" s="78"/>
      <c r="I854" s="6"/>
      <c r="J854" s="6"/>
      <c r="K854" s="79"/>
      <c r="N854" s="79"/>
      <c r="Q854" s="67"/>
    </row>
    <row r="855" spans="1:17" ht="15.6">
      <c r="A855" s="67"/>
      <c r="B855" s="68"/>
      <c r="C855" s="40"/>
      <c r="D855" s="40"/>
      <c r="E855" s="40"/>
      <c r="F855" s="77"/>
      <c r="G855" s="77"/>
      <c r="H855" s="78"/>
      <c r="I855" s="6"/>
      <c r="J855" s="6"/>
      <c r="K855" s="79"/>
      <c r="N855" s="79"/>
      <c r="Q855" s="67"/>
    </row>
    <row r="856" spans="1:17" ht="15.6">
      <c r="A856" s="67"/>
      <c r="B856" s="68"/>
      <c r="C856" s="40"/>
      <c r="D856" s="40"/>
      <c r="E856" s="40"/>
      <c r="F856" s="77"/>
      <c r="G856" s="77"/>
      <c r="H856" s="78"/>
      <c r="I856" s="6"/>
      <c r="J856" s="6"/>
      <c r="K856" s="79"/>
      <c r="N856" s="79"/>
      <c r="Q856" s="67"/>
    </row>
    <row r="857" spans="1:17" ht="15.6">
      <c r="A857" s="67"/>
      <c r="B857" s="68"/>
      <c r="C857" s="40"/>
      <c r="D857" s="40"/>
      <c r="E857" s="40"/>
      <c r="F857" s="77"/>
      <c r="G857" s="77"/>
      <c r="H857" s="78"/>
      <c r="I857" s="6"/>
      <c r="J857" s="6"/>
      <c r="K857" s="79"/>
      <c r="N857" s="79"/>
      <c r="Q857" s="67"/>
    </row>
    <row r="858" spans="1:17" ht="15.6">
      <c r="A858" s="67"/>
      <c r="B858" s="68"/>
      <c r="C858" s="40"/>
      <c r="D858" s="40"/>
      <c r="E858" s="40"/>
      <c r="F858" s="77"/>
      <c r="G858" s="77"/>
      <c r="H858" s="78"/>
      <c r="I858" s="6"/>
      <c r="J858" s="6"/>
      <c r="K858" s="79"/>
      <c r="N858" s="79"/>
      <c r="Q858" s="67"/>
    </row>
    <row r="859" spans="1:17" ht="15.6">
      <c r="A859" s="67"/>
      <c r="B859" s="68"/>
      <c r="C859" s="40"/>
      <c r="D859" s="40"/>
      <c r="E859" s="40"/>
      <c r="F859" s="77"/>
      <c r="G859" s="77"/>
      <c r="H859" s="78"/>
      <c r="I859" s="6"/>
      <c r="J859" s="6"/>
      <c r="K859" s="79"/>
      <c r="N859" s="79"/>
      <c r="Q859" s="67"/>
    </row>
    <row r="860" spans="1:17" ht="15.6">
      <c r="A860" s="67"/>
      <c r="B860" s="68"/>
      <c r="C860" s="40"/>
      <c r="D860" s="40"/>
      <c r="E860" s="40"/>
      <c r="F860" s="77"/>
      <c r="G860" s="77"/>
      <c r="H860" s="78"/>
      <c r="I860" s="6"/>
      <c r="J860" s="6"/>
      <c r="K860" s="79"/>
      <c r="N860" s="79"/>
      <c r="Q860" s="67"/>
    </row>
    <row r="861" spans="1:17" ht="15.6">
      <c r="A861" s="67"/>
      <c r="B861" s="68"/>
      <c r="C861" s="40"/>
      <c r="D861" s="40"/>
      <c r="E861" s="40"/>
      <c r="F861" s="77"/>
      <c r="G861" s="77"/>
      <c r="H861" s="78"/>
      <c r="I861" s="6"/>
      <c r="J861" s="6"/>
      <c r="K861" s="79"/>
      <c r="N861" s="79"/>
      <c r="Q861" s="67"/>
    </row>
    <row r="862" spans="1:17" ht="15.6">
      <c r="A862" s="67"/>
      <c r="B862" s="68"/>
      <c r="C862" s="40"/>
      <c r="D862" s="40"/>
      <c r="E862" s="40"/>
      <c r="F862" s="77"/>
      <c r="G862" s="77"/>
      <c r="H862" s="78"/>
      <c r="I862" s="6"/>
      <c r="J862" s="6"/>
      <c r="K862" s="79"/>
      <c r="N862" s="79"/>
      <c r="Q862" s="67"/>
    </row>
    <row r="863" spans="1:17" ht="15.6">
      <c r="A863" s="67"/>
      <c r="B863" s="68"/>
      <c r="C863" s="40"/>
      <c r="D863" s="40"/>
      <c r="E863" s="40"/>
      <c r="F863" s="77"/>
      <c r="G863" s="77"/>
      <c r="H863" s="78"/>
      <c r="I863" s="6"/>
      <c r="J863" s="6"/>
      <c r="K863" s="79"/>
      <c r="N863" s="79"/>
      <c r="Q863" s="67"/>
    </row>
    <row r="864" spans="1:17" ht="15.6">
      <c r="A864" s="67"/>
      <c r="B864" s="68"/>
      <c r="C864" s="40"/>
      <c r="D864" s="40"/>
      <c r="E864" s="40"/>
      <c r="F864" s="77"/>
      <c r="G864" s="77"/>
      <c r="H864" s="78"/>
      <c r="I864" s="6"/>
      <c r="J864" s="6"/>
      <c r="K864" s="79"/>
      <c r="N864" s="79"/>
      <c r="Q864" s="67"/>
    </row>
    <row r="865" spans="1:17" ht="15.6">
      <c r="A865" s="67"/>
      <c r="B865" s="68"/>
      <c r="C865" s="40"/>
      <c r="D865" s="40"/>
      <c r="E865" s="40"/>
      <c r="F865" s="77"/>
      <c r="G865" s="77"/>
      <c r="H865" s="78"/>
      <c r="I865" s="6"/>
      <c r="J865" s="6"/>
      <c r="K865" s="79"/>
      <c r="N865" s="79"/>
      <c r="Q865" s="67"/>
    </row>
    <row r="866" spans="1:17" ht="15.6">
      <c r="A866" s="67"/>
      <c r="B866" s="68"/>
      <c r="C866" s="40"/>
      <c r="D866" s="40"/>
      <c r="E866" s="40"/>
      <c r="F866" s="77"/>
      <c r="G866" s="77"/>
      <c r="H866" s="78"/>
      <c r="I866" s="6"/>
      <c r="J866" s="6"/>
      <c r="K866" s="79"/>
      <c r="N866" s="79"/>
      <c r="Q866" s="67"/>
    </row>
    <row r="867" spans="1:17" ht="15.6">
      <c r="A867" s="67"/>
      <c r="B867" s="68"/>
      <c r="C867" s="40"/>
      <c r="D867" s="40"/>
      <c r="E867" s="40"/>
      <c r="F867" s="77"/>
      <c r="G867" s="77"/>
      <c r="H867" s="78"/>
      <c r="I867" s="6"/>
      <c r="J867" s="6"/>
      <c r="K867" s="79"/>
      <c r="N867" s="79"/>
      <c r="Q867" s="67"/>
    </row>
    <row r="868" spans="1:17" ht="15.6">
      <c r="A868" s="67"/>
      <c r="B868" s="68"/>
      <c r="C868" s="40"/>
      <c r="D868" s="40"/>
      <c r="E868" s="40"/>
      <c r="F868" s="77"/>
      <c r="G868" s="77"/>
      <c r="H868" s="78"/>
      <c r="I868" s="6"/>
      <c r="J868" s="6"/>
      <c r="K868" s="79"/>
      <c r="N868" s="79"/>
      <c r="Q868" s="67"/>
    </row>
    <row r="869" spans="1:17" ht="15.6">
      <c r="A869" s="67"/>
      <c r="B869" s="68"/>
      <c r="C869" s="40"/>
      <c r="D869" s="40"/>
      <c r="E869" s="40"/>
      <c r="F869" s="77"/>
      <c r="G869" s="77"/>
      <c r="H869" s="78"/>
      <c r="I869" s="6"/>
      <c r="J869" s="6"/>
      <c r="K869" s="79"/>
      <c r="N869" s="79"/>
      <c r="Q869" s="67"/>
    </row>
    <row r="870" spans="1:17" ht="15.6">
      <c r="A870" s="67"/>
      <c r="B870" s="68"/>
      <c r="C870" s="40"/>
      <c r="D870" s="40"/>
      <c r="E870" s="40"/>
      <c r="F870" s="77"/>
      <c r="G870" s="77"/>
      <c r="H870" s="78"/>
      <c r="I870" s="6"/>
      <c r="J870" s="6"/>
      <c r="K870" s="79"/>
      <c r="N870" s="79"/>
      <c r="Q870" s="67"/>
    </row>
    <row r="871" spans="1:17" ht="15.6">
      <c r="A871" s="67"/>
      <c r="B871" s="68"/>
      <c r="C871" s="40"/>
      <c r="D871" s="40"/>
      <c r="E871" s="40"/>
      <c r="F871" s="77"/>
      <c r="G871" s="77"/>
      <c r="H871" s="78"/>
      <c r="I871" s="6"/>
      <c r="J871" s="6"/>
      <c r="K871" s="79"/>
      <c r="N871" s="79"/>
      <c r="Q871" s="67"/>
    </row>
    <row r="872" spans="1:17" ht="15.6">
      <c r="A872" s="67"/>
      <c r="B872" s="68"/>
      <c r="C872" s="40"/>
      <c r="D872" s="40"/>
      <c r="E872" s="40"/>
      <c r="F872" s="77"/>
      <c r="G872" s="77"/>
      <c r="H872" s="78"/>
      <c r="I872" s="6"/>
      <c r="J872" s="6"/>
      <c r="K872" s="79"/>
      <c r="N872" s="79"/>
      <c r="Q872" s="67"/>
    </row>
    <row r="873" spans="1:17" ht="15.6">
      <c r="A873" s="67"/>
      <c r="B873" s="68"/>
      <c r="C873" s="40"/>
      <c r="D873" s="40"/>
      <c r="E873" s="40"/>
      <c r="F873" s="77"/>
      <c r="G873" s="77"/>
      <c r="H873" s="78"/>
      <c r="I873" s="6"/>
      <c r="J873" s="6"/>
      <c r="K873" s="79"/>
      <c r="N873" s="79"/>
      <c r="Q873" s="67"/>
    </row>
    <row r="874" spans="1:17" ht="15.6">
      <c r="A874" s="67"/>
      <c r="B874" s="68"/>
      <c r="C874" s="40"/>
      <c r="D874" s="40"/>
      <c r="E874" s="40"/>
      <c r="F874" s="77"/>
      <c r="G874" s="77"/>
      <c r="H874" s="78"/>
      <c r="I874" s="6"/>
      <c r="J874" s="6"/>
      <c r="K874" s="79"/>
      <c r="N874" s="79"/>
      <c r="Q874" s="67"/>
    </row>
    <row r="875" spans="1:17" ht="15.6">
      <c r="A875" s="67"/>
      <c r="B875" s="68"/>
      <c r="C875" s="40"/>
      <c r="D875" s="40"/>
      <c r="E875" s="40"/>
      <c r="F875" s="77"/>
      <c r="G875" s="77"/>
      <c r="H875" s="78"/>
      <c r="I875" s="6"/>
      <c r="J875" s="6"/>
      <c r="K875" s="79"/>
      <c r="N875" s="79"/>
      <c r="Q875" s="67"/>
    </row>
    <row r="876" spans="1:17" ht="15.6">
      <c r="A876" s="67"/>
      <c r="B876" s="68"/>
      <c r="C876" s="40"/>
      <c r="D876" s="40"/>
      <c r="E876" s="40"/>
      <c r="F876" s="77"/>
      <c r="G876" s="77"/>
      <c r="H876" s="78"/>
      <c r="I876" s="6"/>
      <c r="J876" s="6"/>
      <c r="K876" s="79"/>
      <c r="N876" s="79"/>
      <c r="Q876" s="67"/>
    </row>
    <row r="877" spans="1:17" ht="15.6">
      <c r="A877" s="67"/>
      <c r="B877" s="68"/>
      <c r="C877" s="40"/>
      <c r="D877" s="40"/>
      <c r="E877" s="40"/>
      <c r="F877" s="77"/>
      <c r="G877" s="77"/>
      <c r="H877" s="78"/>
      <c r="I877" s="6"/>
      <c r="J877" s="6"/>
      <c r="K877" s="79"/>
      <c r="N877" s="79"/>
      <c r="Q877" s="67"/>
    </row>
    <row r="878" spans="1:17" ht="15.6">
      <c r="A878" s="67"/>
      <c r="B878" s="68"/>
      <c r="C878" s="40"/>
      <c r="D878" s="40"/>
      <c r="E878" s="40"/>
      <c r="F878" s="77"/>
      <c r="G878" s="77"/>
      <c r="H878" s="78"/>
      <c r="I878" s="6"/>
      <c r="J878" s="6"/>
      <c r="K878" s="79"/>
      <c r="N878" s="79"/>
      <c r="Q878" s="67"/>
    </row>
    <row r="879" spans="1:17" ht="15.6">
      <c r="A879" s="67"/>
      <c r="B879" s="68"/>
      <c r="C879" s="40"/>
      <c r="D879" s="40"/>
      <c r="E879" s="40"/>
      <c r="F879" s="77"/>
      <c r="G879" s="77"/>
      <c r="H879" s="78"/>
      <c r="I879" s="6"/>
      <c r="J879" s="6"/>
      <c r="K879" s="79"/>
      <c r="N879" s="79"/>
      <c r="Q879" s="67"/>
    </row>
    <row r="880" spans="1:17" ht="15.6">
      <c r="A880" s="67"/>
      <c r="B880" s="68"/>
      <c r="C880" s="40"/>
      <c r="D880" s="40"/>
      <c r="E880" s="40"/>
      <c r="F880" s="77"/>
      <c r="G880" s="77"/>
      <c r="H880" s="78"/>
      <c r="I880" s="6"/>
      <c r="J880" s="6"/>
      <c r="K880" s="79"/>
      <c r="N880" s="79"/>
      <c r="Q880" s="67"/>
    </row>
    <row r="881" spans="1:17" ht="15.6">
      <c r="A881" s="67"/>
      <c r="B881" s="68"/>
      <c r="C881" s="40"/>
      <c r="D881" s="40"/>
      <c r="E881" s="40"/>
      <c r="F881" s="77"/>
      <c r="G881" s="77"/>
      <c r="H881" s="78"/>
      <c r="I881" s="6"/>
      <c r="J881" s="6"/>
      <c r="K881" s="79"/>
      <c r="N881" s="79"/>
      <c r="Q881" s="67"/>
    </row>
    <row r="882" spans="1:17" ht="15.6">
      <c r="A882" s="67"/>
      <c r="B882" s="68"/>
      <c r="C882" s="40"/>
      <c r="D882" s="40"/>
      <c r="E882" s="40"/>
      <c r="F882" s="77"/>
      <c r="G882" s="77"/>
      <c r="H882" s="78"/>
      <c r="I882" s="6"/>
      <c r="J882" s="6"/>
      <c r="K882" s="79"/>
      <c r="N882" s="79"/>
      <c r="Q882" s="67"/>
    </row>
    <row r="883" spans="1:17" ht="15.6">
      <c r="A883" s="67"/>
      <c r="B883" s="68"/>
      <c r="C883" s="40"/>
      <c r="D883" s="40"/>
      <c r="E883" s="40"/>
      <c r="F883" s="77"/>
      <c r="G883" s="77"/>
      <c r="H883" s="78"/>
      <c r="I883" s="6"/>
      <c r="J883" s="6"/>
      <c r="K883" s="79"/>
      <c r="N883" s="79"/>
      <c r="Q883" s="67"/>
    </row>
    <row r="884" spans="1:17" ht="15.6">
      <c r="A884" s="67"/>
      <c r="B884" s="68"/>
      <c r="C884" s="40"/>
      <c r="D884" s="40"/>
      <c r="E884" s="40"/>
      <c r="F884" s="77"/>
      <c r="G884" s="77"/>
      <c r="H884" s="78"/>
      <c r="I884" s="6"/>
      <c r="J884" s="6"/>
      <c r="K884" s="79"/>
      <c r="N884" s="79"/>
      <c r="Q884" s="67"/>
    </row>
    <row r="885" spans="1:17" ht="15.6">
      <c r="A885" s="67"/>
      <c r="B885" s="68"/>
      <c r="C885" s="40"/>
      <c r="D885" s="40"/>
      <c r="E885" s="40"/>
      <c r="F885" s="77"/>
      <c r="G885" s="77"/>
      <c r="H885" s="78"/>
      <c r="I885" s="6"/>
      <c r="J885" s="6"/>
      <c r="K885" s="79"/>
      <c r="N885" s="79"/>
      <c r="Q885" s="67"/>
    </row>
    <row r="886" spans="1:17" ht="15.6">
      <c r="A886" s="67"/>
      <c r="B886" s="68"/>
      <c r="C886" s="40"/>
      <c r="D886" s="40"/>
      <c r="E886" s="40"/>
      <c r="F886" s="77"/>
      <c r="G886" s="77"/>
      <c r="H886" s="78"/>
      <c r="I886" s="6"/>
      <c r="J886" s="6"/>
      <c r="K886" s="79"/>
      <c r="N886" s="79"/>
      <c r="Q886" s="67"/>
    </row>
    <row r="887" spans="1:17" ht="15.6">
      <c r="A887" s="67"/>
      <c r="B887" s="68"/>
      <c r="C887" s="40"/>
      <c r="D887" s="40"/>
      <c r="E887" s="40"/>
      <c r="F887" s="77"/>
      <c r="G887" s="77"/>
      <c r="H887" s="78"/>
      <c r="I887" s="6"/>
      <c r="J887" s="6"/>
      <c r="K887" s="79"/>
      <c r="N887" s="79"/>
      <c r="Q887" s="67"/>
    </row>
    <row r="888" spans="1:17" ht="15.6">
      <c r="A888" s="67"/>
      <c r="B888" s="68"/>
      <c r="C888" s="40"/>
      <c r="D888" s="40"/>
      <c r="E888" s="40"/>
      <c r="F888" s="77"/>
      <c r="G888" s="77"/>
      <c r="H888" s="78"/>
      <c r="I888" s="6"/>
      <c r="J888" s="6"/>
      <c r="K888" s="79"/>
      <c r="N888" s="79"/>
      <c r="Q888" s="67"/>
    </row>
    <row r="889" spans="1:17" ht="15.6">
      <c r="A889" s="67"/>
      <c r="B889" s="68"/>
      <c r="C889" s="40"/>
      <c r="D889" s="40"/>
      <c r="E889" s="40"/>
      <c r="F889" s="77"/>
      <c r="G889" s="77"/>
      <c r="H889" s="78"/>
      <c r="I889" s="6"/>
      <c r="J889" s="6"/>
      <c r="K889" s="79"/>
      <c r="N889" s="79"/>
      <c r="Q889" s="67"/>
    </row>
    <row r="890" spans="1:17" ht="15.6">
      <c r="A890" s="67"/>
      <c r="B890" s="68"/>
      <c r="C890" s="40"/>
      <c r="D890" s="40"/>
      <c r="E890" s="40"/>
      <c r="F890" s="77"/>
      <c r="G890" s="77"/>
      <c r="H890" s="78"/>
      <c r="I890" s="6"/>
      <c r="J890" s="6"/>
      <c r="K890" s="79"/>
      <c r="N890" s="79"/>
      <c r="Q890" s="67"/>
    </row>
    <row r="891" spans="1:17" ht="15.6">
      <c r="A891" s="67"/>
      <c r="B891" s="68"/>
      <c r="C891" s="40"/>
      <c r="D891" s="40"/>
      <c r="E891" s="40"/>
      <c r="F891" s="77"/>
      <c r="G891" s="77"/>
      <c r="H891" s="78"/>
      <c r="I891" s="6"/>
      <c r="J891" s="6"/>
      <c r="K891" s="79"/>
      <c r="N891" s="79"/>
      <c r="Q891" s="67"/>
    </row>
    <row r="892" spans="1:17" ht="15.6">
      <c r="A892" s="67"/>
      <c r="B892" s="68"/>
      <c r="C892" s="40"/>
      <c r="D892" s="40"/>
      <c r="E892" s="40"/>
      <c r="F892" s="77"/>
      <c r="G892" s="77"/>
      <c r="H892" s="78"/>
      <c r="I892" s="6"/>
      <c r="J892" s="6"/>
      <c r="K892" s="79"/>
      <c r="N892" s="79"/>
      <c r="Q892" s="67"/>
    </row>
    <row r="893" spans="1:17" ht="15.6">
      <c r="A893" s="67"/>
      <c r="B893" s="68"/>
      <c r="C893" s="40"/>
      <c r="D893" s="40"/>
      <c r="E893" s="40"/>
      <c r="F893" s="77"/>
      <c r="G893" s="77"/>
      <c r="H893" s="78"/>
      <c r="I893" s="6"/>
      <c r="J893" s="6"/>
      <c r="K893" s="79"/>
      <c r="N893" s="79"/>
      <c r="Q893" s="67"/>
    </row>
    <row r="894" spans="1:17" ht="15.6">
      <c r="A894" s="67"/>
      <c r="B894" s="68"/>
      <c r="C894" s="40"/>
      <c r="D894" s="40"/>
      <c r="E894" s="40"/>
      <c r="F894" s="77"/>
      <c r="G894" s="77"/>
      <c r="H894" s="78"/>
      <c r="I894" s="6"/>
      <c r="J894" s="6"/>
      <c r="K894" s="79"/>
      <c r="N894" s="79"/>
      <c r="Q894" s="67"/>
    </row>
    <row r="895" spans="1:17" ht="15.6">
      <c r="A895" s="67"/>
      <c r="B895" s="68"/>
      <c r="C895" s="40"/>
      <c r="D895" s="40"/>
      <c r="E895" s="40"/>
      <c r="F895" s="77"/>
      <c r="G895" s="77"/>
      <c r="H895" s="78"/>
      <c r="I895" s="6"/>
      <c r="J895" s="6"/>
      <c r="K895" s="79"/>
      <c r="N895" s="79"/>
      <c r="Q895" s="67"/>
    </row>
    <row r="896" spans="1:17" ht="15.6">
      <c r="A896" s="67"/>
      <c r="B896" s="68"/>
      <c r="C896" s="40"/>
      <c r="D896" s="40"/>
      <c r="E896" s="40"/>
      <c r="F896" s="77"/>
      <c r="G896" s="77"/>
      <c r="H896" s="78"/>
      <c r="I896" s="6"/>
      <c r="J896" s="6"/>
      <c r="K896" s="79"/>
      <c r="N896" s="79"/>
      <c r="Q896" s="67"/>
    </row>
    <row r="897" spans="1:17" ht="15.6">
      <c r="A897" s="67"/>
      <c r="B897" s="68"/>
      <c r="C897" s="40"/>
      <c r="D897" s="40"/>
      <c r="E897" s="40"/>
      <c r="F897" s="77"/>
      <c r="G897" s="77"/>
      <c r="H897" s="78"/>
      <c r="I897" s="6"/>
      <c r="J897" s="6"/>
      <c r="K897" s="79"/>
      <c r="N897" s="79"/>
      <c r="Q897" s="67"/>
    </row>
    <row r="898" spans="1:17" ht="15.6">
      <c r="A898" s="67"/>
      <c r="B898" s="68"/>
      <c r="C898" s="40"/>
      <c r="D898" s="40"/>
      <c r="E898" s="40"/>
      <c r="F898" s="77"/>
      <c r="G898" s="77"/>
      <c r="H898" s="78"/>
      <c r="I898" s="6"/>
      <c r="J898" s="6"/>
      <c r="K898" s="79"/>
      <c r="N898" s="79"/>
      <c r="Q898" s="67"/>
    </row>
    <row r="899" spans="1:17" ht="15.6">
      <c r="A899" s="67"/>
      <c r="B899" s="68"/>
      <c r="C899" s="40"/>
      <c r="D899" s="40"/>
      <c r="E899" s="40"/>
      <c r="F899" s="77"/>
      <c r="G899" s="77"/>
      <c r="H899" s="78"/>
      <c r="I899" s="6"/>
      <c r="J899" s="6"/>
      <c r="K899" s="79"/>
      <c r="N899" s="79"/>
      <c r="Q899" s="67"/>
    </row>
    <row r="900" spans="1:17" ht="15.6">
      <c r="A900" s="67"/>
      <c r="B900" s="68"/>
      <c r="C900" s="40"/>
      <c r="D900" s="40"/>
      <c r="E900" s="40"/>
      <c r="F900" s="77"/>
      <c r="G900" s="77"/>
      <c r="H900" s="78"/>
      <c r="I900" s="6"/>
      <c r="J900" s="6"/>
      <c r="K900" s="79"/>
      <c r="N900" s="79"/>
      <c r="Q900" s="67"/>
    </row>
    <row r="901" spans="1:17" ht="15.6">
      <c r="A901" s="67"/>
      <c r="B901" s="68"/>
      <c r="C901" s="40"/>
      <c r="D901" s="40"/>
      <c r="E901" s="40"/>
      <c r="F901" s="77"/>
      <c r="G901" s="77"/>
      <c r="H901" s="78"/>
      <c r="I901" s="6"/>
      <c r="J901" s="6"/>
      <c r="K901" s="79"/>
      <c r="N901" s="79"/>
      <c r="Q901" s="67"/>
    </row>
    <row r="902" spans="1:17" ht="15.6">
      <c r="A902" s="67"/>
      <c r="B902" s="68"/>
      <c r="C902" s="40"/>
      <c r="D902" s="40"/>
      <c r="E902" s="40"/>
      <c r="F902" s="77"/>
      <c r="G902" s="77"/>
      <c r="H902" s="78"/>
      <c r="I902" s="6"/>
      <c r="J902" s="6"/>
      <c r="K902" s="79"/>
      <c r="N902" s="79"/>
      <c r="Q902" s="67"/>
    </row>
    <row r="903" spans="1:17" ht="15.6">
      <c r="A903" s="67"/>
      <c r="B903" s="68"/>
      <c r="C903" s="40"/>
      <c r="D903" s="40"/>
      <c r="E903" s="40"/>
      <c r="F903" s="77"/>
      <c r="G903" s="77"/>
      <c r="H903" s="78"/>
      <c r="I903" s="6"/>
      <c r="J903" s="6"/>
      <c r="K903" s="79"/>
      <c r="N903" s="79"/>
      <c r="Q903" s="67"/>
    </row>
    <row r="904" spans="1:17" ht="15.6">
      <c r="A904" s="67"/>
      <c r="B904" s="68"/>
      <c r="C904" s="40"/>
      <c r="D904" s="40"/>
      <c r="E904" s="40"/>
      <c r="F904" s="77"/>
      <c r="G904" s="77"/>
      <c r="H904" s="78"/>
      <c r="I904" s="6"/>
      <c r="J904" s="6"/>
      <c r="K904" s="79"/>
      <c r="N904" s="79"/>
      <c r="Q904" s="67"/>
    </row>
    <row r="905" spans="1:17" ht="15.6">
      <c r="A905" s="67"/>
      <c r="B905" s="68"/>
      <c r="C905" s="40"/>
      <c r="D905" s="40"/>
      <c r="E905" s="40"/>
      <c r="F905" s="77"/>
      <c r="G905" s="77"/>
      <c r="H905" s="78"/>
      <c r="I905" s="6"/>
      <c r="J905" s="6"/>
      <c r="K905" s="79"/>
      <c r="N905" s="79"/>
      <c r="Q905" s="67"/>
    </row>
    <row r="906" spans="1:17" ht="15.6">
      <c r="A906" s="67"/>
      <c r="B906" s="68"/>
      <c r="C906" s="40"/>
      <c r="D906" s="40"/>
      <c r="E906" s="40"/>
      <c r="F906" s="77"/>
      <c r="G906" s="77"/>
      <c r="H906" s="78"/>
      <c r="I906" s="6"/>
      <c r="J906" s="6"/>
      <c r="K906" s="79"/>
      <c r="N906" s="79"/>
      <c r="Q906" s="67"/>
    </row>
    <row r="907" spans="1:17" ht="15.6">
      <c r="A907" s="67"/>
      <c r="B907" s="68"/>
      <c r="C907" s="40"/>
      <c r="D907" s="40"/>
      <c r="E907" s="40"/>
      <c r="F907" s="77"/>
      <c r="G907" s="77"/>
      <c r="H907" s="78"/>
      <c r="I907" s="6"/>
      <c r="J907" s="6"/>
      <c r="K907" s="79"/>
      <c r="N907" s="79"/>
      <c r="Q907" s="67"/>
    </row>
    <row r="908" spans="1:17" ht="15.6">
      <c r="A908" s="67"/>
      <c r="B908" s="68"/>
      <c r="C908" s="40"/>
      <c r="D908" s="40"/>
      <c r="E908" s="40"/>
      <c r="F908" s="77"/>
      <c r="G908" s="77"/>
      <c r="H908" s="78"/>
      <c r="I908" s="6"/>
      <c r="J908" s="6"/>
      <c r="K908" s="79"/>
      <c r="N908" s="79"/>
      <c r="Q908" s="67"/>
    </row>
    <row r="909" spans="1:17" ht="15.6">
      <c r="A909" s="67"/>
      <c r="B909" s="68"/>
      <c r="C909" s="40"/>
      <c r="D909" s="40"/>
      <c r="E909" s="40"/>
      <c r="F909" s="77"/>
      <c r="G909" s="77"/>
      <c r="H909" s="78"/>
      <c r="I909" s="6"/>
      <c r="J909" s="6"/>
      <c r="K909" s="79"/>
      <c r="N909" s="79"/>
      <c r="Q909" s="67"/>
    </row>
    <row r="910" spans="1:17" ht="15.6">
      <c r="A910" s="67"/>
      <c r="B910" s="68"/>
      <c r="C910" s="40"/>
      <c r="D910" s="40"/>
      <c r="E910" s="40"/>
      <c r="F910" s="77"/>
      <c r="G910" s="77"/>
      <c r="H910" s="78"/>
      <c r="I910" s="6"/>
      <c r="J910" s="6"/>
      <c r="K910" s="79"/>
      <c r="N910" s="79"/>
      <c r="Q910" s="67"/>
    </row>
    <row r="911" spans="1:17" ht="15.6">
      <c r="A911" s="67"/>
      <c r="B911" s="68"/>
      <c r="C911" s="40"/>
      <c r="D911" s="40"/>
      <c r="E911" s="40"/>
      <c r="F911" s="77"/>
      <c r="G911" s="77"/>
      <c r="H911" s="78"/>
      <c r="I911" s="6"/>
      <c r="J911" s="6"/>
      <c r="K911" s="79"/>
      <c r="N911" s="79"/>
      <c r="Q911" s="67"/>
    </row>
    <row r="912" spans="1:17" ht="15.6">
      <c r="A912" s="67"/>
      <c r="B912" s="68"/>
      <c r="C912" s="40"/>
      <c r="D912" s="40"/>
      <c r="E912" s="40"/>
      <c r="F912" s="77"/>
      <c r="G912" s="77"/>
      <c r="H912" s="78"/>
      <c r="I912" s="6"/>
      <c r="J912" s="6"/>
      <c r="K912" s="79"/>
      <c r="N912" s="79"/>
      <c r="Q912" s="67"/>
    </row>
    <row r="913" spans="1:17" ht="15.6">
      <c r="A913" s="67"/>
      <c r="B913" s="68"/>
      <c r="C913" s="40"/>
      <c r="D913" s="40"/>
      <c r="E913" s="40"/>
      <c r="F913" s="77"/>
      <c r="G913" s="77"/>
      <c r="H913" s="78"/>
      <c r="I913" s="6"/>
      <c r="J913" s="6"/>
      <c r="K913" s="79"/>
      <c r="N913" s="79"/>
      <c r="Q913" s="67"/>
    </row>
    <row r="914" spans="1:17" ht="15.6">
      <c r="A914" s="67"/>
      <c r="B914" s="68"/>
      <c r="C914" s="40"/>
      <c r="D914" s="40"/>
      <c r="E914" s="40"/>
      <c r="F914" s="77"/>
      <c r="G914" s="77"/>
      <c r="H914" s="78"/>
      <c r="I914" s="6"/>
      <c r="J914" s="6"/>
      <c r="K914" s="79"/>
      <c r="N914" s="79"/>
      <c r="Q914" s="67"/>
    </row>
    <row r="915" spans="1:17" ht="15.6">
      <c r="A915" s="67"/>
      <c r="B915" s="68"/>
      <c r="C915" s="40"/>
      <c r="D915" s="40"/>
      <c r="E915" s="40"/>
      <c r="F915" s="77"/>
      <c r="G915" s="77"/>
      <c r="H915" s="78"/>
      <c r="I915" s="6"/>
      <c r="J915" s="6"/>
      <c r="K915" s="79"/>
      <c r="N915" s="79"/>
      <c r="Q915" s="67"/>
    </row>
    <row r="916" spans="1:17" ht="15.6">
      <c r="A916" s="67"/>
      <c r="B916" s="68"/>
      <c r="C916" s="40"/>
      <c r="D916" s="40"/>
      <c r="E916" s="40"/>
      <c r="F916" s="77"/>
      <c r="G916" s="77"/>
      <c r="H916" s="78"/>
      <c r="I916" s="6"/>
      <c r="J916" s="6"/>
      <c r="K916" s="79"/>
      <c r="N916" s="79"/>
      <c r="Q916" s="67"/>
    </row>
    <row r="917" spans="1:17" ht="15.6">
      <c r="A917" s="67"/>
      <c r="B917" s="68"/>
      <c r="C917" s="40"/>
      <c r="D917" s="40"/>
      <c r="E917" s="40"/>
      <c r="F917" s="77"/>
      <c r="G917" s="77"/>
      <c r="H917" s="78"/>
      <c r="I917" s="6"/>
      <c r="J917" s="6"/>
      <c r="K917" s="79"/>
      <c r="N917" s="79"/>
      <c r="Q917" s="67"/>
    </row>
    <row r="918" spans="1:17" ht="15.6">
      <c r="A918" s="67"/>
      <c r="B918" s="68"/>
      <c r="C918" s="40"/>
      <c r="D918" s="40"/>
      <c r="E918" s="40"/>
      <c r="F918" s="77"/>
      <c r="G918" s="77"/>
      <c r="H918" s="78"/>
      <c r="I918" s="6"/>
      <c r="J918" s="6"/>
      <c r="K918" s="79"/>
      <c r="N918" s="79"/>
      <c r="Q918" s="67"/>
    </row>
    <row r="919" spans="1:17" ht="15.6">
      <c r="A919" s="67"/>
      <c r="B919" s="68"/>
      <c r="C919" s="40"/>
      <c r="D919" s="40"/>
      <c r="E919" s="40"/>
      <c r="F919" s="77"/>
      <c r="G919" s="77"/>
      <c r="H919" s="78"/>
      <c r="I919" s="6"/>
      <c r="J919" s="6"/>
      <c r="K919" s="79"/>
      <c r="N919" s="79"/>
      <c r="Q919" s="67"/>
    </row>
    <row r="920" spans="1:17" ht="15.6">
      <c r="A920" s="67"/>
      <c r="B920" s="68"/>
      <c r="C920" s="40"/>
      <c r="D920" s="40"/>
      <c r="E920" s="40"/>
      <c r="F920" s="77"/>
      <c r="G920" s="77"/>
      <c r="H920" s="78"/>
      <c r="I920" s="6"/>
      <c r="J920" s="6"/>
      <c r="K920" s="79"/>
      <c r="N920" s="79"/>
      <c r="Q920" s="67"/>
    </row>
    <row r="921" spans="1:17" ht="15.6">
      <c r="A921" s="67"/>
      <c r="B921" s="68"/>
      <c r="C921" s="40"/>
      <c r="D921" s="40"/>
      <c r="E921" s="40"/>
      <c r="F921" s="77"/>
      <c r="G921" s="77"/>
      <c r="H921" s="78"/>
      <c r="I921" s="6"/>
      <c r="J921" s="6"/>
      <c r="K921" s="79"/>
      <c r="N921" s="79"/>
      <c r="Q921" s="67"/>
    </row>
    <row r="922" spans="1:17" ht="15.6">
      <c r="A922" s="67"/>
      <c r="B922" s="68"/>
      <c r="C922" s="40"/>
      <c r="D922" s="40"/>
      <c r="E922" s="40"/>
      <c r="F922" s="77"/>
      <c r="G922" s="77"/>
      <c r="H922" s="78"/>
      <c r="I922" s="6"/>
      <c r="J922" s="6"/>
      <c r="K922" s="79"/>
      <c r="N922" s="79"/>
      <c r="Q922" s="67"/>
    </row>
    <row r="923" spans="1:17" ht="15.6">
      <c r="A923" s="67"/>
      <c r="B923" s="68"/>
      <c r="C923" s="40"/>
      <c r="D923" s="40"/>
      <c r="E923" s="40"/>
      <c r="F923" s="77"/>
      <c r="G923" s="77"/>
      <c r="H923" s="78"/>
      <c r="I923" s="6"/>
      <c r="J923" s="6"/>
      <c r="K923" s="79"/>
      <c r="N923" s="79"/>
      <c r="Q923" s="67"/>
    </row>
    <row r="924" spans="1:17" ht="15.6">
      <c r="A924" s="67"/>
      <c r="B924" s="68"/>
      <c r="C924" s="40"/>
      <c r="D924" s="40"/>
      <c r="E924" s="40"/>
      <c r="F924" s="77"/>
      <c r="G924" s="77"/>
      <c r="H924" s="78"/>
      <c r="I924" s="6"/>
      <c r="J924" s="6"/>
      <c r="K924" s="79"/>
      <c r="N924" s="79"/>
      <c r="Q924" s="67"/>
    </row>
    <row r="925" spans="1:17" ht="15.6">
      <c r="A925" s="67"/>
      <c r="B925" s="68"/>
      <c r="C925" s="40"/>
      <c r="D925" s="40"/>
      <c r="E925" s="40"/>
      <c r="F925" s="77"/>
      <c r="G925" s="77"/>
      <c r="H925" s="78"/>
      <c r="I925" s="6"/>
      <c r="J925" s="6"/>
      <c r="K925" s="79"/>
      <c r="N925" s="79"/>
      <c r="Q925" s="67"/>
    </row>
    <row r="926" spans="1:17" ht="15.6">
      <c r="A926" s="67"/>
      <c r="B926" s="68"/>
      <c r="C926" s="40"/>
      <c r="D926" s="40"/>
      <c r="E926" s="40"/>
      <c r="F926" s="77"/>
      <c r="G926" s="77"/>
      <c r="H926" s="78"/>
      <c r="I926" s="6"/>
      <c r="J926" s="6"/>
      <c r="K926" s="79"/>
      <c r="N926" s="79"/>
      <c r="Q926" s="67"/>
    </row>
    <row r="927" spans="1:17" ht="15.6">
      <c r="A927" s="67"/>
      <c r="B927" s="68"/>
      <c r="C927" s="40"/>
      <c r="D927" s="40"/>
      <c r="E927" s="40"/>
      <c r="F927" s="77"/>
      <c r="G927" s="77"/>
      <c r="H927" s="78"/>
      <c r="I927" s="6"/>
      <c r="J927" s="6"/>
      <c r="K927" s="79"/>
      <c r="N927" s="79"/>
      <c r="Q927" s="67"/>
    </row>
    <row r="928" spans="1:17" ht="15.6">
      <c r="A928" s="67"/>
      <c r="B928" s="68"/>
      <c r="C928" s="40"/>
      <c r="D928" s="40"/>
      <c r="E928" s="40"/>
      <c r="F928" s="77"/>
      <c r="G928" s="77"/>
      <c r="H928" s="78"/>
      <c r="I928" s="6"/>
      <c r="J928" s="6"/>
      <c r="K928" s="79"/>
      <c r="N928" s="79"/>
      <c r="Q928" s="67"/>
    </row>
    <row r="929" spans="1:17" ht="15.6">
      <c r="A929" s="67"/>
      <c r="B929" s="68"/>
      <c r="C929" s="40"/>
      <c r="D929" s="40"/>
      <c r="E929" s="40"/>
      <c r="F929" s="77"/>
      <c r="G929" s="77"/>
      <c r="H929" s="78"/>
      <c r="I929" s="6"/>
      <c r="J929" s="6"/>
      <c r="K929" s="79"/>
      <c r="N929" s="79"/>
      <c r="Q929" s="67"/>
    </row>
    <row r="930" spans="1:17" ht="15.6">
      <c r="A930" s="67"/>
      <c r="B930" s="68"/>
      <c r="C930" s="40"/>
      <c r="D930" s="40"/>
      <c r="E930" s="40"/>
      <c r="F930" s="77"/>
      <c r="G930" s="77"/>
      <c r="H930" s="78"/>
      <c r="I930" s="6"/>
      <c r="J930" s="6"/>
      <c r="K930" s="79"/>
      <c r="N930" s="79"/>
      <c r="Q930" s="67"/>
    </row>
    <row r="931" spans="1:17" ht="15.6">
      <c r="A931" s="67"/>
      <c r="B931" s="68"/>
      <c r="C931" s="40"/>
      <c r="D931" s="40"/>
      <c r="E931" s="40"/>
      <c r="F931" s="77"/>
      <c r="G931" s="77"/>
      <c r="H931" s="78"/>
      <c r="I931" s="6"/>
      <c r="J931" s="6"/>
      <c r="K931" s="79"/>
      <c r="N931" s="79"/>
      <c r="Q931" s="67"/>
    </row>
    <row r="932" spans="1:17" ht="15.6">
      <c r="A932" s="67"/>
      <c r="B932" s="68"/>
      <c r="C932" s="40"/>
      <c r="D932" s="40"/>
      <c r="E932" s="40"/>
      <c r="F932" s="77"/>
      <c r="G932" s="77"/>
      <c r="H932" s="78"/>
      <c r="I932" s="6"/>
      <c r="J932" s="6"/>
      <c r="K932" s="79"/>
      <c r="N932" s="79"/>
      <c r="Q932" s="67"/>
    </row>
    <row r="933" spans="1:17" ht="15.6">
      <c r="A933" s="67"/>
      <c r="B933" s="68"/>
      <c r="C933" s="40"/>
      <c r="D933" s="40"/>
      <c r="E933" s="40"/>
      <c r="F933" s="77"/>
      <c r="G933" s="77"/>
      <c r="H933" s="78"/>
      <c r="I933" s="6"/>
      <c r="J933" s="6"/>
      <c r="K933" s="79"/>
      <c r="N933" s="79"/>
      <c r="Q933" s="67"/>
    </row>
    <row r="934" spans="1:17" ht="15.6">
      <c r="A934" s="67"/>
      <c r="B934" s="68"/>
      <c r="C934" s="40"/>
      <c r="D934" s="40"/>
      <c r="E934" s="40"/>
      <c r="F934" s="77"/>
      <c r="G934" s="77"/>
      <c r="H934" s="78"/>
      <c r="I934" s="6"/>
      <c r="J934" s="6"/>
      <c r="K934" s="79"/>
      <c r="N934" s="79"/>
      <c r="Q934" s="67"/>
    </row>
    <row r="935" spans="1:17" ht="15.6">
      <c r="A935" s="67"/>
      <c r="B935" s="68"/>
      <c r="C935" s="40"/>
      <c r="D935" s="40"/>
      <c r="E935" s="40"/>
      <c r="F935" s="77"/>
      <c r="G935" s="77"/>
      <c r="H935" s="78"/>
      <c r="I935" s="6"/>
      <c r="J935" s="6"/>
      <c r="K935" s="79"/>
      <c r="N935" s="79"/>
      <c r="Q935" s="67"/>
    </row>
    <row r="936" spans="1:17" ht="15.6">
      <c r="A936" s="67"/>
      <c r="B936" s="68"/>
      <c r="C936" s="40"/>
      <c r="D936" s="40"/>
      <c r="E936" s="40"/>
      <c r="F936" s="77"/>
      <c r="G936" s="77"/>
      <c r="H936" s="78"/>
      <c r="I936" s="6"/>
      <c r="J936" s="6"/>
      <c r="K936" s="79"/>
      <c r="N936" s="79"/>
      <c r="Q936" s="67"/>
    </row>
    <row r="937" spans="1:17" ht="15.6">
      <c r="A937" s="67"/>
      <c r="B937" s="68"/>
      <c r="C937" s="40"/>
      <c r="D937" s="40"/>
      <c r="E937" s="40"/>
      <c r="F937" s="77"/>
      <c r="G937" s="77"/>
      <c r="H937" s="78"/>
      <c r="I937" s="6"/>
      <c r="J937" s="6"/>
      <c r="K937" s="79"/>
      <c r="N937" s="79"/>
      <c r="Q937" s="67"/>
    </row>
    <row r="938" spans="1:17" ht="15.6">
      <c r="A938" s="67"/>
      <c r="B938" s="68"/>
      <c r="C938" s="40"/>
      <c r="D938" s="40"/>
      <c r="E938" s="40"/>
      <c r="F938" s="77"/>
      <c r="G938" s="77"/>
      <c r="H938" s="78"/>
      <c r="I938" s="6"/>
      <c r="J938" s="6"/>
      <c r="K938" s="79"/>
      <c r="N938" s="79"/>
      <c r="Q938" s="67"/>
    </row>
    <row r="939" spans="1:17" ht="15.6">
      <c r="A939" s="67"/>
      <c r="B939" s="68"/>
      <c r="C939" s="40"/>
      <c r="D939" s="40"/>
      <c r="E939" s="40"/>
      <c r="F939" s="77"/>
      <c r="G939" s="77"/>
      <c r="H939" s="78"/>
      <c r="I939" s="6"/>
      <c r="J939" s="6"/>
      <c r="K939" s="79"/>
      <c r="N939" s="79"/>
      <c r="Q939" s="67"/>
    </row>
    <row r="940" spans="1:17" ht="15.6">
      <c r="A940" s="67"/>
      <c r="B940" s="68"/>
      <c r="C940" s="40"/>
      <c r="D940" s="40"/>
      <c r="E940" s="40"/>
      <c r="F940" s="77"/>
      <c r="G940" s="77"/>
      <c r="H940" s="78"/>
      <c r="I940" s="6"/>
      <c r="J940" s="6"/>
      <c r="K940" s="79"/>
      <c r="N940" s="79"/>
      <c r="Q940" s="67"/>
    </row>
    <row r="941" spans="1:17" ht="15.6">
      <c r="A941" s="67"/>
      <c r="B941" s="68"/>
      <c r="C941" s="40"/>
      <c r="D941" s="40"/>
      <c r="E941" s="40"/>
      <c r="F941" s="77"/>
      <c r="G941" s="77"/>
      <c r="H941" s="78"/>
      <c r="I941" s="6"/>
      <c r="J941" s="6"/>
      <c r="K941" s="79"/>
      <c r="N941" s="79"/>
      <c r="Q941" s="67"/>
    </row>
    <row r="942" spans="1:17" ht="15.6">
      <c r="A942" s="67"/>
      <c r="B942" s="68"/>
      <c r="C942" s="40"/>
      <c r="D942" s="40"/>
      <c r="E942" s="40"/>
      <c r="F942" s="77"/>
      <c r="G942" s="77"/>
      <c r="H942" s="78"/>
      <c r="I942" s="6"/>
      <c r="J942" s="6"/>
      <c r="K942" s="79"/>
      <c r="N942" s="79"/>
      <c r="Q942" s="67"/>
    </row>
    <row r="943" spans="1:17" ht="15.6">
      <c r="A943" s="67"/>
      <c r="B943" s="68"/>
      <c r="C943" s="40"/>
      <c r="D943" s="40"/>
      <c r="E943" s="40"/>
      <c r="F943" s="77"/>
      <c r="G943" s="77"/>
      <c r="H943" s="78"/>
      <c r="I943" s="6"/>
      <c r="J943" s="6"/>
      <c r="K943" s="79"/>
      <c r="N943" s="79"/>
      <c r="Q943" s="67"/>
    </row>
    <row r="944" spans="1:17" ht="15.6">
      <c r="A944" s="67"/>
      <c r="B944" s="68"/>
      <c r="C944" s="40"/>
      <c r="D944" s="40"/>
      <c r="E944" s="40"/>
      <c r="F944" s="77"/>
      <c r="G944" s="77"/>
      <c r="H944" s="78"/>
      <c r="I944" s="6"/>
      <c r="J944" s="6"/>
      <c r="K944" s="79"/>
      <c r="N944" s="79"/>
      <c r="Q944" s="67"/>
    </row>
    <row r="945" spans="1:17" ht="15.6">
      <c r="A945" s="67"/>
      <c r="B945" s="68"/>
      <c r="C945" s="40"/>
      <c r="D945" s="40"/>
      <c r="E945" s="40"/>
      <c r="F945" s="77"/>
      <c r="G945" s="77"/>
      <c r="H945" s="78"/>
      <c r="I945" s="6"/>
      <c r="J945" s="6"/>
      <c r="K945" s="79"/>
      <c r="N945" s="79"/>
      <c r="Q945" s="67"/>
    </row>
    <row r="946" spans="1:17" ht="15.6">
      <c r="A946" s="67"/>
      <c r="B946" s="68"/>
      <c r="C946" s="40"/>
      <c r="D946" s="40"/>
      <c r="E946" s="40"/>
      <c r="F946" s="77"/>
      <c r="G946" s="77"/>
      <c r="H946" s="78"/>
      <c r="I946" s="6"/>
      <c r="J946" s="6"/>
      <c r="K946" s="79"/>
      <c r="N946" s="79"/>
      <c r="Q946" s="67"/>
    </row>
    <row r="947" spans="1:17" ht="15.6">
      <c r="A947" s="67"/>
      <c r="B947" s="68"/>
      <c r="C947" s="40"/>
      <c r="D947" s="40"/>
      <c r="E947" s="40"/>
      <c r="F947" s="77"/>
      <c r="G947" s="77"/>
      <c r="H947" s="78"/>
      <c r="I947" s="6"/>
      <c r="J947" s="6"/>
      <c r="K947" s="79"/>
      <c r="N947" s="79"/>
      <c r="Q947" s="67"/>
    </row>
    <row r="948" spans="1:17" ht="15.6">
      <c r="A948" s="67"/>
      <c r="B948" s="68"/>
      <c r="C948" s="40"/>
      <c r="D948" s="40"/>
      <c r="E948" s="40"/>
      <c r="F948" s="77"/>
      <c r="G948" s="77"/>
      <c r="H948" s="78"/>
      <c r="I948" s="6"/>
      <c r="J948" s="6"/>
      <c r="K948" s="79"/>
      <c r="N948" s="79"/>
      <c r="Q948" s="67"/>
    </row>
    <row r="949" spans="1:17" ht="15.6">
      <c r="A949" s="67"/>
      <c r="B949" s="68"/>
      <c r="C949" s="40"/>
      <c r="D949" s="40"/>
      <c r="E949" s="40"/>
      <c r="F949" s="77"/>
      <c r="G949" s="77"/>
      <c r="H949" s="78"/>
      <c r="I949" s="6"/>
      <c r="J949" s="6"/>
      <c r="K949" s="79"/>
      <c r="N949" s="79"/>
      <c r="Q949" s="67"/>
    </row>
    <row r="950" spans="1:17" ht="15.6">
      <c r="A950" s="67"/>
      <c r="B950" s="68"/>
      <c r="C950" s="40"/>
      <c r="D950" s="40"/>
      <c r="E950" s="40"/>
      <c r="F950" s="77"/>
      <c r="G950" s="77"/>
      <c r="H950" s="78"/>
      <c r="I950" s="6"/>
      <c r="J950" s="6"/>
      <c r="K950" s="79"/>
      <c r="N950" s="79"/>
      <c r="Q950" s="67"/>
    </row>
    <row r="951" spans="1:17" ht="15.6">
      <c r="A951" s="67"/>
      <c r="B951" s="68"/>
      <c r="C951" s="40"/>
      <c r="D951" s="40"/>
      <c r="E951" s="40"/>
      <c r="F951" s="77"/>
      <c r="G951" s="77"/>
      <c r="H951" s="78"/>
      <c r="I951" s="6"/>
      <c r="J951" s="6"/>
      <c r="K951" s="79"/>
      <c r="N951" s="79"/>
      <c r="Q951" s="67"/>
    </row>
    <row r="952" spans="1:17" ht="15.6">
      <c r="A952" s="67"/>
      <c r="B952" s="68"/>
      <c r="C952" s="40"/>
      <c r="D952" s="40"/>
      <c r="E952" s="40"/>
      <c r="F952" s="77"/>
      <c r="G952" s="77"/>
      <c r="H952" s="78"/>
      <c r="I952" s="6"/>
      <c r="J952" s="6"/>
      <c r="K952" s="79"/>
      <c r="N952" s="79"/>
      <c r="Q952" s="67"/>
    </row>
    <row r="953" spans="1:17" ht="15.6">
      <c r="A953" s="67"/>
      <c r="B953" s="68"/>
      <c r="C953" s="40"/>
      <c r="D953" s="40"/>
      <c r="E953" s="40"/>
      <c r="F953" s="77"/>
      <c r="G953" s="77"/>
      <c r="H953" s="78"/>
      <c r="I953" s="6"/>
      <c r="J953" s="6"/>
      <c r="K953" s="79"/>
      <c r="N953" s="79"/>
      <c r="Q953" s="67"/>
    </row>
    <row r="954" spans="1:17" ht="15.6">
      <c r="A954" s="67"/>
      <c r="B954" s="68"/>
      <c r="C954" s="40"/>
      <c r="D954" s="40"/>
      <c r="E954" s="40"/>
      <c r="F954" s="77"/>
      <c r="G954" s="77"/>
      <c r="H954" s="78"/>
      <c r="I954" s="6"/>
      <c r="J954" s="6"/>
      <c r="K954" s="79"/>
      <c r="N954" s="79"/>
      <c r="Q954" s="67"/>
    </row>
    <row r="955" spans="1:17" ht="15.6">
      <c r="A955" s="67"/>
      <c r="B955" s="68"/>
      <c r="C955" s="40"/>
      <c r="D955" s="40"/>
      <c r="E955" s="40"/>
      <c r="F955" s="77"/>
      <c r="G955" s="77"/>
      <c r="H955" s="78"/>
      <c r="I955" s="6"/>
      <c r="J955" s="6"/>
      <c r="K955" s="79"/>
      <c r="N955" s="79"/>
      <c r="Q955" s="67"/>
    </row>
    <row r="956" spans="1:17" ht="15.6">
      <c r="A956" s="67"/>
      <c r="B956" s="68"/>
      <c r="C956" s="40"/>
      <c r="D956" s="40"/>
      <c r="E956" s="40"/>
      <c r="F956" s="77"/>
      <c r="G956" s="77"/>
      <c r="H956" s="78"/>
      <c r="I956" s="6"/>
      <c r="J956" s="6"/>
      <c r="K956" s="79"/>
      <c r="N956" s="79"/>
      <c r="Q956" s="67"/>
    </row>
    <row r="957" spans="1:17" ht="15.6">
      <c r="A957" s="67"/>
      <c r="B957" s="68"/>
      <c r="C957" s="40"/>
      <c r="D957" s="40"/>
      <c r="E957" s="40"/>
      <c r="F957" s="77"/>
      <c r="G957" s="77"/>
      <c r="H957" s="78"/>
      <c r="I957" s="6"/>
      <c r="J957" s="6"/>
      <c r="K957" s="79"/>
      <c r="N957" s="79"/>
      <c r="Q957" s="67"/>
    </row>
    <row r="958" spans="1:17" ht="15.6">
      <c r="A958" s="67"/>
      <c r="B958" s="68"/>
      <c r="C958" s="40"/>
      <c r="D958" s="40"/>
      <c r="E958" s="40"/>
      <c r="F958" s="77"/>
      <c r="G958" s="77"/>
      <c r="H958" s="78"/>
      <c r="I958" s="6"/>
      <c r="J958" s="6"/>
      <c r="K958" s="79"/>
      <c r="N958" s="79"/>
      <c r="Q958" s="67"/>
    </row>
    <row r="959" spans="1:17" ht="15.6">
      <c r="A959" s="67"/>
      <c r="B959" s="68"/>
      <c r="C959" s="40"/>
      <c r="D959" s="40"/>
      <c r="E959" s="40"/>
      <c r="F959" s="77"/>
      <c r="G959" s="77"/>
      <c r="H959" s="78"/>
      <c r="I959" s="6"/>
      <c r="J959" s="6"/>
      <c r="K959" s="79"/>
      <c r="N959" s="79"/>
      <c r="Q959" s="67"/>
    </row>
    <row r="960" spans="1:17" ht="15.6">
      <c r="A960" s="67"/>
      <c r="B960" s="68"/>
      <c r="C960" s="40"/>
      <c r="D960" s="40"/>
      <c r="E960" s="40"/>
      <c r="F960" s="77"/>
      <c r="G960" s="77"/>
      <c r="H960" s="78"/>
      <c r="I960" s="6"/>
      <c r="J960" s="6"/>
      <c r="K960" s="79"/>
      <c r="N960" s="79"/>
      <c r="Q960" s="67"/>
    </row>
    <row r="961" spans="1:17" ht="15.6">
      <c r="A961" s="67"/>
      <c r="B961" s="68"/>
      <c r="C961" s="40"/>
      <c r="D961" s="40"/>
      <c r="E961" s="40"/>
      <c r="F961" s="77"/>
      <c r="G961" s="77"/>
      <c r="H961" s="78"/>
      <c r="I961" s="6"/>
      <c r="J961" s="6"/>
      <c r="K961" s="79"/>
      <c r="N961" s="79"/>
      <c r="Q961" s="67"/>
    </row>
    <row r="962" spans="1:17" ht="15.6">
      <c r="A962" s="67"/>
      <c r="B962" s="68"/>
      <c r="C962" s="40"/>
      <c r="D962" s="40"/>
      <c r="E962" s="40"/>
      <c r="F962" s="77"/>
      <c r="G962" s="77"/>
      <c r="H962" s="78"/>
      <c r="I962" s="6"/>
      <c r="J962" s="6"/>
      <c r="K962" s="79"/>
      <c r="N962" s="79"/>
      <c r="Q962" s="67"/>
    </row>
    <row r="963" spans="1:17" ht="15.6">
      <c r="A963" s="67"/>
      <c r="B963" s="68"/>
      <c r="C963" s="40"/>
      <c r="D963" s="40"/>
      <c r="E963" s="40"/>
      <c r="F963" s="77"/>
      <c r="G963" s="77"/>
      <c r="H963" s="78"/>
      <c r="I963" s="6"/>
      <c r="J963" s="6"/>
      <c r="K963" s="79"/>
      <c r="N963" s="79"/>
      <c r="Q963" s="67"/>
    </row>
    <row r="964" spans="1:17" ht="15.6">
      <c r="A964" s="67"/>
      <c r="B964" s="68"/>
      <c r="C964" s="40"/>
      <c r="D964" s="40"/>
      <c r="E964" s="40"/>
      <c r="F964" s="77"/>
      <c r="G964" s="77"/>
      <c r="H964" s="78"/>
      <c r="I964" s="6"/>
      <c r="J964" s="6"/>
      <c r="K964" s="79"/>
      <c r="N964" s="79"/>
      <c r="Q964" s="67"/>
    </row>
    <row r="965" spans="1:17" ht="15.6">
      <c r="A965" s="67"/>
      <c r="B965" s="68"/>
      <c r="C965" s="40"/>
      <c r="D965" s="40"/>
      <c r="E965" s="40"/>
      <c r="F965" s="77"/>
      <c r="G965" s="77"/>
      <c r="H965" s="78"/>
      <c r="I965" s="6"/>
      <c r="J965" s="6"/>
      <c r="K965" s="79"/>
      <c r="N965" s="79"/>
      <c r="Q965" s="67"/>
    </row>
    <row r="966" spans="1:17" ht="15.6">
      <c r="A966" s="67"/>
      <c r="B966" s="68"/>
      <c r="C966" s="40"/>
      <c r="D966" s="40"/>
      <c r="E966" s="40"/>
      <c r="F966" s="77"/>
      <c r="G966" s="77"/>
      <c r="H966" s="78"/>
      <c r="I966" s="6"/>
      <c r="J966" s="6"/>
      <c r="K966" s="79"/>
      <c r="N966" s="79"/>
      <c r="Q966" s="67"/>
    </row>
    <row r="967" spans="1:17" ht="15.6">
      <c r="A967" s="67"/>
      <c r="B967" s="68"/>
      <c r="C967" s="40"/>
      <c r="D967" s="40"/>
      <c r="E967" s="40"/>
      <c r="F967" s="77"/>
      <c r="G967" s="77"/>
      <c r="H967" s="78"/>
      <c r="I967" s="6"/>
      <c r="J967" s="6"/>
      <c r="K967" s="79"/>
      <c r="N967" s="79"/>
      <c r="Q967" s="67"/>
    </row>
    <row r="968" spans="1:17" ht="15.6">
      <c r="A968" s="67"/>
      <c r="B968" s="68"/>
      <c r="C968" s="40"/>
      <c r="D968" s="40"/>
      <c r="E968" s="40"/>
      <c r="F968" s="77"/>
      <c r="G968" s="77"/>
      <c r="H968" s="78"/>
      <c r="I968" s="6"/>
      <c r="J968" s="6"/>
      <c r="K968" s="79"/>
      <c r="N968" s="79"/>
      <c r="Q968" s="67"/>
    </row>
    <row r="969" spans="1:17" ht="15.6">
      <c r="A969" s="67"/>
      <c r="B969" s="68"/>
      <c r="C969" s="40"/>
      <c r="D969" s="40"/>
      <c r="E969" s="40"/>
      <c r="F969" s="77"/>
      <c r="G969" s="77"/>
      <c r="H969" s="78"/>
      <c r="I969" s="6"/>
      <c r="J969" s="6"/>
      <c r="K969" s="79"/>
      <c r="N969" s="79"/>
      <c r="Q969" s="67"/>
    </row>
    <row r="970" spans="1:17" ht="15.6">
      <c r="A970" s="67"/>
      <c r="B970" s="68"/>
      <c r="C970" s="40"/>
      <c r="D970" s="40"/>
      <c r="E970" s="40"/>
      <c r="F970" s="77"/>
      <c r="G970" s="77"/>
      <c r="H970" s="78"/>
      <c r="I970" s="6"/>
      <c r="J970" s="6"/>
      <c r="K970" s="79"/>
      <c r="N970" s="79"/>
      <c r="Q970" s="67"/>
    </row>
    <row r="971" spans="1:17" ht="15.6">
      <c r="A971" s="67"/>
      <c r="B971" s="68"/>
      <c r="C971" s="40"/>
      <c r="D971" s="40"/>
      <c r="E971" s="40"/>
      <c r="F971" s="77"/>
      <c r="G971" s="77"/>
      <c r="H971" s="78"/>
      <c r="I971" s="6"/>
      <c r="J971" s="6"/>
      <c r="K971" s="79"/>
      <c r="N971" s="79"/>
      <c r="Q971" s="67"/>
    </row>
    <row r="972" spans="1:17" ht="15.6">
      <c r="A972" s="67"/>
      <c r="B972" s="68"/>
      <c r="C972" s="40"/>
      <c r="D972" s="40"/>
      <c r="E972" s="40"/>
      <c r="F972" s="77"/>
      <c r="G972" s="77"/>
      <c r="H972" s="78"/>
      <c r="I972" s="6"/>
      <c r="J972" s="6"/>
      <c r="K972" s="79"/>
      <c r="N972" s="79"/>
      <c r="Q972" s="67"/>
    </row>
    <row r="973" spans="1:17" ht="15.6">
      <c r="A973" s="67"/>
      <c r="B973" s="68"/>
      <c r="C973" s="40"/>
      <c r="D973" s="40"/>
      <c r="E973" s="40"/>
      <c r="F973" s="77"/>
      <c r="G973" s="77"/>
      <c r="H973" s="78"/>
      <c r="I973" s="6"/>
      <c r="J973" s="6"/>
      <c r="K973" s="79"/>
      <c r="N973" s="79"/>
      <c r="Q973" s="67"/>
    </row>
    <row r="974" spans="1:17" ht="15.6">
      <c r="A974" s="67"/>
      <c r="B974" s="68"/>
      <c r="C974" s="40"/>
      <c r="D974" s="40"/>
      <c r="E974" s="40"/>
      <c r="F974" s="77"/>
      <c r="G974" s="77"/>
      <c r="H974" s="78"/>
      <c r="I974" s="6"/>
      <c r="J974" s="6"/>
      <c r="K974" s="79"/>
      <c r="N974" s="79"/>
      <c r="Q974" s="67"/>
    </row>
    <row r="975" spans="1:17" ht="15.6">
      <c r="A975" s="67"/>
      <c r="B975" s="68"/>
      <c r="C975" s="40"/>
      <c r="D975" s="40"/>
      <c r="E975" s="40"/>
      <c r="F975" s="77"/>
      <c r="G975" s="77"/>
      <c r="H975" s="78"/>
      <c r="I975" s="6"/>
      <c r="J975" s="6"/>
      <c r="K975" s="79"/>
      <c r="N975" s="79"/>
      <c r="Q975" s="67"/>
    </row>
    <row r="976" spans="1:17" ht="15.6">
      <c r="A976" s="67"/>
      <c r="B976" s="68"/>
      <c r="C976" s="40"/>
      <c r="D976" s="40"/>
      <c r="E976" s="40"/>
      <c r="F976" s="77"/>
      <c r="G976" s="77"/>
      <c r="H976" s="78"/>
      <c r="I976" s="6"/>
      <c r="J976" s="6"/>
      <c r="K976" s="79"/>
      <c r="N976" s="79"/>
      <c r="Q976" s="67"/>
    </row>
    <row r="977" spans="1:17" ht="15.6">
      <c r="A977" s="67"/>
      <c r="B977" s="68"/>
      <c r="C977" s="40"/>
      <c r="D977" s="40"/>
      <c r="E977" s="40"/>
      <c r="F977" s="77"/>
      <c r="G977" s="77"/>
      <c r="H977" s="78"/>
      <c r="I977" s="6"/>
      <c r="J977" s="6"/>
      <c r="K977" s="79"/>
      <c r="N977" s="79"/>
      <c r="Q977" s="67"/>
    </row>
    <row r="978" spans="1:17" ht="15.6">
      <c r="A978" s="67"/>
      <c r="B978" s="68"/>
      <c r="C978" s="40"/>
      <c r="D978" s="40"/>
      <c r="E978" s="40"/>
      <c r="F978" s="77"/>
      <c r="G978" s="77"/>
      <c r="H978" s="78"/>
      <c r="I978" s="6"/>
      <c r="J978" s="6"/>
      <c r="K978" s="79"/>
      <c r="N978" s="79"/>
      <c r="Q978" s="67"/>
    </row>
    <row r="979" spans="1:17" ht="15.6">
      <c r="A979" s="67"/>
      <c r="B979" s="68"/>
      <c r="C979" s="40"/>
      <c r="D979" s="40"/>
      <c r="E979" s="40"/>
      <c r="F979" s="77"/>
      <c r="G979" s="77"/>
      <c r="H979" s="78"/>
      <c r="I979" s="6"/>
      <c r="J979" s="6"/>
      <c r="K979" s="79"/>
      <c r="N979" s="79"/>
      <c r="Q979" s="67"/>
    </row>
    <row r="980" spans="1:17" ht="15.6">
      <c r="A980" s="67"/>
      <c r="B980" s="68"/>
      <c r="C980" s="40"/>
      <c r="D980" s="40"/>
      <c r="E980" s="40"/>
      <c r="F980" s="77"/>
      <c r="G980" s="77"/>
      <c r="H980" s="78"/>
      <c r="I980" s="6"/>
      <c r="J980" s="6"/>
      <c r="K980" s="79"/>
      <c r="N980" s="79"/>
      <c r="Q980" s="67"/>
    </row>
    <row r="981" spans="1:17" ht="15.6">
      <c r="A981" s="67"/>
      <c r="B981" s="68"/>
      <c r="C981" s="40"/>
      <c r="D981" s="40"/>
      <c r="E981" s="40"/>
      <c r="F981" s="77"/>
      <c r="G981" s="77"/>
      <c r="H981" s="78"/>
      <c r="I981" s="6"/>
      <c r="J981" s="6"/>
      <c r="K981" s="79"/>
      <c r="N981" s="79"/>
      <c r="Q981" s="67"/>
    </row>
    <row r="982" spans="1:17" ht="15.6">
      <c r="A982" s="67"/>
      <c r="B982" s="68"/>
      <c r="C982" s="40"/>
      <c r="D982" s="40"/>
      <c r="E982" s="40"/>
      <c r="F982" s="77"/>
      <c r="G982" s="77"/>
      <c r="H982" s="78"/>
      <c r="I982" s="6"/>
      <c r="J982" s="6"/>
      <c r="K982" s="79"/>
      <c r="N982" s="79"/>
      <c r="Q982" s="67"/>
    </row>
    <row r="983" spans="1:17" ht="15.6">
      <c r="A983" s="67"/>
      <c r="B983" s="68"/>
      <c r="C983" s="40"/>
      <c r="D983" s="40"/>
      <c r="E983" s="40"/>
      <c r="F983" s="77"/>
      <c r="G983" s="77"/>
      <c r="H983" s="78"/>
      <c r="I983" s="6"/>
      <c r="J983" s="6"/>
      <c r="K983" s="79"/>
      <c r="N983" s="79"/>
      <c r="Q983" s="67"/>
    </row>
    <row r="984" spans="1:17" ht="15.6">
      <c r="A984" s="67"/>
      <c r="B984" s="68"/>
      <c r="C984" s="40"/>
      <c r="D984" s="40"/>
      <c r="E984" s="40"/>
      <c r="F984" s="77"/>
      <c r="G984" s="77"/>
      <c r="H984" s="78"/>
      <c r="I984" s="6"/>
      <c r="J984" s="6"/>
      <c r="K984" s="79"/>
      <c r="N984" s="79"/>
      <c r="Q984" s="67"/>
    </row>
    <row r="985" spans="1:17" ht="15.6">
      <c r="A985" s="67"/>
      <c r="B985" s="68"/>
      <c r="C985" s="40"/>
      <c r="D985" s="40"/>
      <c r="E985" s="40"/>
      <c r="F985" s="77"/>
      <c r="G985" s="77"/>
      <c r="H985" s="78"/>
      <c r="I985" s="6"/>
      <c r="J985" s="6"/>
      <c r="K985" s="79"/>
      <c r="N985" s="79"/>
      <c r="Q985" s="67"/>
    </row>
    <row r="986" spans="1:17" ht="15.6">
      <c r="A986" s="67"/>
      <c r="B986" s="68"/>
      <c r="C986" s="40"/>
      <c r="D986" s="40"/>
      <c r="E986" s="40"/>
      <c r="F986" s="77"/>
      <c r="G986" s="77"/>
      <c r="H986" s="78"/>
      <c r="I986" s="6"/>
      <c r="J986" s="6"/>
      <c r="K986" s="79"/>
      <c r="N986" s="79"/>
      <c r="Q986" s="67"/>
    </row>
    <row r="987" spans="1:17" ht="15.6">
      <c r="A987" s="67"/>
      <c r="B987" s="68"/>
      <c r="C987" s="40"/>
      <c r="D987" s="40"/>
      <c r="E987" s="40"/>
      <c r="F987" s="77"/>
      <c r="G987" s="77"/>
      <c r="H987" s="78"/>
      <c r="I987" s="6"/>
      <c r="J987" s="6"/>
      <c r="K987" s="79"/>
      <c r="N987" s="79"/>
      <c r="Q987" s="67"/>
    </row>
    <row r="988" spans="1:17" ht="15.6">
      <c r="A988" s="67"/>
      <c r="B988" s="68"/>
      <c r="C988" s="40"/>
      <c r="D988" s="40"/>
      <c r="E988" s="40"/>
      <c r="F988" s="77"/>
      <c r="G988" s="77"/>
      <c r="H988" s="78"/>
      <c r="I988" s="6"/>
      <c r="J988" s="6"/>
      <c r="K988" s="79"/>
      <c r="N988" s="79"/>
      <c r="Q988" s="67"/>
    </row>
    <row r="989" spans="1:17" ht="15.6">
      <c r="A989" s="67"/>
      <c r="B989" s="68"/>
      <c r="C989" s="40"/>
      <c r="D989" s="40"/>
      <c r="E989" s="40"/>
      <c r="F989" s="77"/>
      <c r="G989" s="77"/>
      <c r="H989" s="78"/>
      <c r="I989" s="6"/>
      <c r="J989" s="6"/>
      <c r="K989" s="79"/>
      <c r="N989" s="79"/>
      <c r="Q989" s="67"/>
    </row>
    <row r="990" spans="1:17" ht="15.6">
      <c r="A990" s="67"/>
      <c r="B990" s="68"/>
      <c r="C990" s="40"/>
      <c r="D990" s="40"/>
      <c r="E990" s="40"/>
      <c r="F990" s="77"/>
      <c r="G990" s="77"/>
      <c r="H990" s="78"/>
      <c r="I990" s="6"/>
      <c r="J990" s="6"/>
      <c r="K990" s="79"/>
      <c r="N990" s="79"/>
      <c r="Q990" s="67"/>
    </row>
    <row r="991" spans="1:17" ht="15.6">
      <c r="A991" s="67"/>
      <c r="B991" s="68"/>
      <c r="C991" s="40"/>
      <c r="D991" s="40"/>
      <c r="E991" s="40"/>
      <c r="F991" s="77"/>
      <c r="G991" s="77"/>
      <c r="H991" s="78"/>
      <c r="I991" s="6"/>
      <c r="J991" s="6"/>
      <c r="K991" s="79"/>
      <c r="N991" s="79"/>
      <c r="Q991" s="67"/>
    </row>
    <row r="992" spans="1:17" ht="15.6">
      <c r="A992" s="67"/>
      <c r="B992" s="68"/>
      <c r="C992" s="40"/>
      <c r="D992" s="40"/>
      <c r="E992" s="40"/>
      <c r="F992" s="77"/>
      <c r="G992" s="77"/>
      <c r="H992" s="78"/>
      <c r="I992" s="6"/>
      <c r="J992" s="6"/>
      <c r="K992" s="79"/>
      <c r="N992" s="79"/>
      <c r="Q992" s="67"/>
    </row>
    <row r="993" spans="1:17" ht="15.6">
      <c r="A993" s="67"/>
      <c r="B993" s="68"/>
      <c r="C993" s="40"/>
      <c r="D993" s="40"/>
      <c r="E993" s="40"/>
      <c r="F993" s="77"/>
      <c r="G993" s="77"/>
      <c r="H993" s="78"/>
      <c r="I993" s="6"/>
      <c r="J993" s="6"/>
      <c r="K993" s="79"/>
      <c r="N993" s="79"/>
      <c r="Q993" s="67"/>
    </row>
    <row r="994" spans="1:17" ht="15.6">
      <c r="A994" s="67"/>
      <c r="B994" s="68"/>
      <c r="C994" s="40"/>
      <c r="D994" s="40"/>
      <c r="E994" s="40"/>
      <c r="F994" s="77"/>
      <c r="G994" s="77"/>
      <c r="H994" s="78"/>
      <c r="I994" s="6"/>
      <c r="J994" s="6"/>
      <c r="K994" s="79"/>
      <c r="N994" s="79"/>
      <c r="Q994" s="67"/>
    </row>
    <row r="995" spans="1:17" ht="15.6">
      <c r="A995" s="67"/>
      <c r="B995" s="68"/>
      <c r="C995" s="40"/>
      <c r="D995" s="40"/>
      <c r="E995" s="40"/>
      <c r="F995" s="77"/>
      <c r="G995" s="77"/>
      <c r="H995" s="78"/>
      <c r="I995" s="6"/>
      <c r="J995" s="6"/>
      <c r="K995" s="79"/>
      <c r="N995" s="79"/>
      <c r="Q995" s="67"/>
    </row>
    <row r="996" spans="1:17" ht="15.6">
      <c r="A996" s="67"/>
      <c r="B996" s="68"/>
      <c r="C996" s="40"/>
      <c r="D996" s="40"/>
      <c r="E996" s="40"/>
      <c r="F996" s="77"/>
      <c r="G996" s="77"/>
      <c r="H996" s="78"/>
      <c r="I996" s="6"/>
      <c r="J996" s="6"/>
      <c r="K996" s="79"/>
      <c r="N996" s="79"/>
      <c r="Q996" s="67"/>
    </row>
    <row r="997" spans="1:17" ht="15.6">
      <c r="A997" s="67"/>
      <c r="B997" s="68"/>
      <c r="C997" s="40"/>
      <c r="D997" s="40"/>
      <c r="E997" s="40"/>
      <c r="F997" s="77"/>
      <c r="G997" s="77"/>
      <c r="H997" s="78"/>
      <c r="I997" s="6"/>
      <c r="J997" s="6"/>
      <c r="K997" s="79"/>
      <c r="N997" s="79"/>
      <c r="Q997" s="67"/>
    </row>
    <row r="998" spans="1:17" ht="15.6">
      <c r="A998" s="67"/>
      <c r="B998" s="68"/>
      <c r="C998" s="40"/>
      <c r="D998" s="40"/>
      <c r="E998" s="40"/>
      <c r="F998" s="77"/>
      <c r="G998" s="77"/>
      <c r="H998" s="78"/>
      <c r="I998" s="6"/>
      <c r="J998" s="6"/>
      <c r="K998" s="79"/>
      <c r="N998" s="79"/>
      <c r="Q998" s="67"/>
    </row>
    <row r="999" spans="1:17" ht="15.6">
      <c r="A999" s="67"/>
      <c r="B999" s="68"/>
      <c r="C999" s="40"/>
      <c r="D999" s="40"/>
      <c r="E999" s="40"/>
      <c r="F999" s="77"/>
      <c r="G999" s="77"/>
      <c r="H999" s="78"/>
      <c r="I999" s="6"/>
      <c r="J999" s="6"/>
      <c r="K999" s="79"/>
      <c r="N999" s="79"/>
      <c r="Q999" s="67"/>
    </row>
    <row r="1000" spans="1:17" ht="15.6">
      <c r="A1000" s="67"/>
      <c r="B1000" s="68"/>
      <c r="C1000" s="40"/>
      <c r="D1000" s="40"/>
      <c r="E1000" s="40"/>
      <c r="F1000" s="77"/>
      <c r="G1000" s="77"/>
      <c r="H1000" s="78"/>
      <c r="I1000" s="6"/>
      <c r="J1000" s="6"/>
      <c r="K1000" s="79"/>
      <c r="N1000" s="79"/>
      <c r="Q1000" s="67"/>
    </row>
    <row r="1001" spans="1:17" ht="15.6">
      <c r="A1001" s="67"/>
      <c r="B1001" s="68"/>
      <c r="C1001" s="40"/>
      <c r="D1001" s="40"/>
      <c r="E1001" s="40"/>
      <c r="F1001" s="77"/>
      <c r="G1001" s="77"/>
      <c r="H1001" s="78"/>
      <c r="I1001" s="6"/>
      <c r="J1001" s="6"/>
      <c r="K1001" s="79"/>
      <c r="N1001" s="79"/>
      <c r="Q1001" s="67"/>
    </row>
    <row r="1002" spans="1:17" ht="15.6">
      <c r="A1002" s="67"/>
      <c r="B1002" s="68"/>
      <c r="C1002" s="40"/>
      <c r="D1002" s="40"/>
      <c r="E1002" s="40"/>
      <c r="F1002" s="77"/>
      <c r="G1002" s="77"/>
      <c r="H1002" s="78"/>
      <c r="I1002" s="6"/>
      <c r="J1002" s="6"/>
      <c r="K1002" s="79"/>
      <c r="N1002" s="79"/>
      <c r="Q1002" s="67"/>
    </row>
    <row r="1003" spans="1:17" ht="15.6">
      <c r="A1003" s="67"/>
      <c r="B1003" s="68"/>
      <c r="C1003" s="40"/>
      <c r="D1003" s="40"/>
      <c r="E1003" s="40"/>
      <c r="F1003" s="77"/>
      <c r="G1003" s="77"/>
      <c r="H1003" s="78"/>
      <c r="I1003" s="6"/>
      <c r="J1003" s="6"/>
      <c r="K1003" s="79"/>
      <c r="N1003" s="79"/>
      <c r="Q1003" s="67"/>
    </row>
    <row r="1004" spans="1:17" ht="15.6">
      <c r="A1004" s="67"/>
      <c r="B1004" s="68"/>
      <c r="C1004" s="40"/>
      <c r="D1004" s="40"/>
      <c r="E1004" s="40"/>
      <c r="F1004" s="77"/>
      <c r="G1004" s="77"/>
      <c r="H1004" s="78"/>
      <c r="I1004" s="6"/>
      <c r="J1004" s="6"/>
      <c r="K1004" s="79"/>
      <c r="N1004" s="79"/>
      <c r="Q1004" s="67"/>
    </row>
    <row r="1005" spans="1:17" ht="15.6">
      <c r="A1005" s="67"/>
      <c r="B1005" s="68"/>
      <c r="C1005" s="40"/>
      <c r="D1005" s="40"/>
      <c r="E1005" s="40"/>
      <c r="F1005" s="77"/>
      <c r="G1005" s="77"/>
      <c r="H1005" s="78"/>
      <c r="I1005" s="6"/>
      <c r="J1005" s="6"/>
      <c r="K1005" s="79"/>
      <c r="N1005" s="79"/>
      <c r="Q1005" s="67"/>
    </row>
    <row r="1006" spans="1:17" ht="15.6">
      <c r="A1006" s="67"/>
      <c r="B1006" s="68"/>
      <c r="C1006" s="40"/>
      <c r="D1006" s="40"/>
      <c r="E1006" s="40"/>
      <c r="F1006" s="77"/>
      <c r="G1006" s="77"/>
      <c r="H1006" s="78"/>
      <c r="I1006" s="6"/>
      <c r="J1006" s="6"/>
      <c r="K1006" s="79"/>
      <c r="N1006" s="79"/>
      <c r="Q1006" s="67"/>
    </row>
    <row r="1007" spans="1:17" ht="15.6">
      <c r="A1007" s="67"/>
      <c r="B1007" s="68"/>
      <c r="C1007" s="40"/>
      <c r="D1007" s="40"/>
      <c r="E1007" s="40"/>
      <c r="F1007" s="77"/>
      <c r="G1007" s="77"/>
      <c r="H1007" s="78"/>
      <c r="I1007" s="6"/>
      <c r="J1007" s="6"/>
      <c r="K1007" s="79"/>
      <c r="N1007" s="79"/>
      <c r="Q1007" s="67"/>
    </row>
    <row r="1008" spans="1:17" ht="15.6">
      <c r="A1008" s="67"/>
      <c r="B1008" s="68"/>
      <c r="C1008" s="40"/>
      <c r="D1008" s="40"/>
      <c r="E1008" s="40"/>
      <c r="F1008" s="77"/>
      <c r="G1008" s="77"/>
      <c r="H1008" s="78"/>
      <c r="I1008" s="6"/>
      <c r="J1008" s="6"/>
      <c r="K1008" s="79"/>
      <c r="N1008" s="79"/>
      <c r="Q1008" s="67"/>
    </row>
    <row r="1009" spans="1:17" ht="15.6">
      <c r="A1009" s="67"/>
      <c r="B1009" s="68"/>
      <c r="C1009" s="40"/>
      <c r="D1009" s="40"/>
      <c r="E1009" s="40"/>
      <c r="F1009" s="77"/>
      <c r="G1009" s="77"/>
      <c r="H1009" s="78"/>
      <c r="I1009" s="6"/>
      <c r="J1009" s="6"/>
      <c r="K1009" s="79"/>
      <c r="N1009" s="79"/>
      <c r="Q1009" s="67"/>
    </row>
    <row r="1010" spans="1:17" ht="15.6">
      <c r="A1010" s="67"/>
      <c r="B1010" s="68"/>
      <c r="C1010" s="40"/>
      <c r="D1010" s="40"/>
      <c r="E1010" s="40"/>
      <c r="F1010" s="77"/>
      <c r="G1010" s="77"/>
      <c r="H1010" s="78"/>
      <c r="I1010" s="6"/>
      <c r="J1010" s="6"/>
      <c r="K1010" s="79"/>
      <c r="N1010" s="79"/>
      <c r="Q1010" s="67"/>
    </row>
    <row r="1011" spans="1:17" ht="15.6">
      <c r="A1011" s="67"/>
      <c r="B1011" s="68"/>
      <c r="C1011" s="40"/>
      <c r="D1011" s="40"/>
      <c r="E1011" s="40"/>
      <c r="F1011" s="77"/>
      <c r="G1011" s="77"/>
      <c r="H1011" s="78"/>
      <c r="I1011" s="6"/>
      <c r="J1011" s="6"/>
      <c r="K1011" s="79"/>
      <c r="N1011" s="79"/>
      <c r="Q1011" s="67"/>
    </row>
    <row r="1012" spans="1:17" ht="15.6">
      <c r="A1012" s="67"/>
      <c r="B1012" s="68"/>
      <c r="C1012" s="40"/>
      <c r="D1012" s="40"/>
      <c r="E1012" s="40"/>
      <c r="F1012" s="77"/>
      <c r="G1012" s="77"/>
      <c r="H1012" s="78"/>
      <c r="I1012" s="6"/>
      <c r="J1012" s="6"/>
      <c r="K1012" s="79"/>
      <c r="N1012" s="79"/>
      <c r="Q1012" s="67"/>
    </row>
    <row r="1013" spans="1:17" ht="15.6">
      <c r="A1013" s="67"/>
      <c r="B1013" s="68"/>
      <c r="C1013" s="40"/>
      <c r="D1013" s="40"/>
      <c r="E1013" s="40"/>
      <c r="F1013" s="77"/>
      <c r="G1013" s="77"/>
      <c r="H1013" s="78"/>
      <c r="I1013" s="6"/>
      <c r="J1013" s="6"/>
      <c r="K1013" s="79"/>
      <c r="N1013" s="79"/>
      <c r="Q1013" s="67"/>
    </row>
    <row r="1014" spans="1:17" ht="15.6">
      <c r="A1014" s="67"/>
      <c r="B1014" s="68"/>
      <c r="C1014" s="40"/>
      <c r="D1014" s="40"/>
      <c r="E1014" s="40"/>
      <c r="F1014" s="77"/>
      <c r="G1014" s="77"/>
      <c r="H1014" s="78"/>
      <c r="I1014" s="6"/>
      <c r="J1014" s="6"/>
      <c r="K1014" s="79"/>
      <c r="N1014" s="79"/>
      <c r="Q1014" s="67"/>
    </row>
    <row r="1015" spans="1:17" ht="15.6">
      <c r="A1015" s="67"/>
      <c r="B1015" s="68"/>
      <c r="C1015" s="40"/>
      <c r="D1015" s="40"/>
      <c r="E1015" s="40"/>
      <c r="F1015" s="77"/>
      <c r="G1015" s="77"/>
      <c r="H1015" s="78"/>
      <c r="I1015" s="6"/>
      <c r="J1015" s="6"/>
      <c r="K1015" s="79"/>
      <c r="N1015" s="79"/>
      <c r="Q1015" s="67"/>
    </row>
    <row r="1016" spans="1:17" ht="15.6">
      <c r="A1016" s="67"/>
      <c r="B1016" s="68"/>
      <c r="C1016" s="40"/>
      <c r="D1016" s="40"/>
      <c r="E1016" s="40"/>
      <c r="F1016" s="77"/>
      <c r="G1016" s="77"/>
      <c r="H1016" s="78"/>
      <c r="I1016" s="6"/>
      <c r="J1016" s="6"/>
      <c r="K1016" s="79"/>
      <c r="N1016" s="79"/>
      <c r="Q1016" s="67"/>
    </row>
    <row r="1017" spans="1:17" ht="15.6">
      <c r="A1017" s="67"/>
      <c r="B1017" s="68"/>
      <c r="C1017" s="40"/>
      <c r="D1017" s="40"/>
      <c r="E1017" s="40"/>
      <c r="F1017" s="77"/>
      <c r="G1017" s="77"/>
      <c r="H1017" s="78"/>
      <c r="I1017" s="6"/>
      <c r="J1017" s="6"/>
      <c r="K1017" s="79"/>
      <c r="N1017" s="79"/>
      <c r="Q1017" s="67"/>
    </row>
    <row r="1018" spans="1:17" ht="15.6">
      <c r="A1018" s="67"/>
      <c r="B1018" s="68"/>
      <c r="C1018" s="40"/>
      <c r="D1018" s="40"/>
      <c r="E1018" s="40"/>
      <c r="F1018" s="77"/>
      <c r="G1018" s="77"/>
      <c r="H1018" s="78"/>
      <c r="I1018" s="6"/>
      <c r="J1018" s="6"/>
      <c r="K1018" s="79"/>
      <c r="N1018" s="79"/>
      <c r="Q1018" s="67"/>
    </row>
    <row r="1019" spans="1:17" ht="15.6">
      <c r="A1019" s="67"/>
      <c r="B1019" s="68"/>
      <c r="C1019" s="40"/>
      <c r="D1019" s="40"/>
      <c r="E1019" s="40"/>
      <c r="F1019" s="77"/>
      <c r="G1019" s="77"/>
      <c r="H1019" s="78"/>
      <c r="I1019" s="6"/>
      <c r="J1019" s="6"/>
      <c r="K1019" s="79"/>
      <c r="N1019" s="79"/>
      <c r="Q1019" s="67"/>
    </row>
    <row r="1020" spans="1:17" ht="15.6">
      <c r="A1020" s="67"/>
      <c r="B1020" s="68"/>
      <c r="C1020" s="40"/>
      <c r="D1020" s="40"/>
      <c r="E1020" s="40"/>
      <c r="F1020" s="77"/>
      <c r="G1020" s="77"/>
      <c r="H1020" s="78"/>
      <c r="I1020" s="6"/>
      <c r="J1020" s="6"/>
      <c r="K1020" s="79"/>
      <c r="N1020" s="79"/>
      <c r="Q1020" s="67"/>
    </row>
    <row r="1021" spans="1:17" ht="15.6">
      <c r="A1021" s="67"/>
      <c r="B1021" s="68"/>
      <c r="C1021" s="40"/>
      <c r="D1021" s="40"/>
      <c r="E1021" s="40"/>
      <c r="F1021" s="77"/>
      <c r="G1021" s="77"/>
      <c r="H1021" s="78"/>
      <c r="I1021" s="6"/>
      <c r="J1021" s="6"/>
      <c r="K1021" s="79"/>
      <c r="N1021" s="79"/>
      <c r="Q1021" s="67"/>
    </row>
    <row r="1022" spans="1:17" ht="15.6">
      <c r="A1022" s="67"/>
      <c r="B1022" s="68"/>
      <c r="C1022" s="40"/>
      <c r="D1022" s="40"/>
      <c r="E1022" s="40"/>
      <c r="F1022" s="77"/>
      <c r="G1022" s="77"/>
      <c r="H1022" s="78"/>
      <c r="I1022" s="6"/>
      <c r="J1022" s="6"/>
      <c r="K1022" s="79"/>
      <c r="N1022" s="79"/>
      <c r="Q1022" s="67"/>
    </row>
    <row r="1023" spans="1:17" ht="15.6">
      <c r="A1023" s="67"/>
      <c r="B1023" s="68"/>
      <c r="C1023" s="40"/>
      <c r="D1023" s="40"/>
      <c r="E1023" s="40"/>
      <c r="F1023" s="77"/>
      <c r="G1023" s="77"/>
      <c r="H1023" s="78"/>
      <c r="I1023" s="6"/>
      <c r="J1023" s="6"/>
      <c r="K1023" s="79"/>
      <c r="N1023" s="79"/>
      <c r="Q1023" s="67"/>
    </row>
    <row r="1024" spans="1:17" ht="15.6">
      <c r="A1024" s="67"/>
      <c r="B1024" s="68"/>
      <c r="C1024" s="40"/>
      <c r="D1024" s="40"/>
      <c r="E1024" s="40"/>
      <c r="F1024" s="77"/>
      <c r="G1024" s="77"/>
      <c r="H1024" s="78"/>
      <c r="I1024" s="6"/>
      <c r="J1024" s="6"/>
      <c r="K1024" s="79"/>
      <c r="N1024" s="79"/>
      <c r="Q1024" s="67"/>
    </row>
    <row r="1025" spans="1:17" ht="15.6">
      <c r="A1025" s="67"/>
      <c r="B1025" s="68"/>
      <c r="C1025" s="40"/>
      <c r="D1025" s="40"/>
      <c r="E1025" s="40"/>
      <c r="F1025" s="77"/>
      <c r="G1025" s="77"/>
      <c r="H1025" s="78"/>
      <c r="I1025" s="6"/>
      <c r="J1025" s="6"/>
      <c r="K1025" s="79"/>
      <c r="N1025" s="79"/>
      <c r="Q1025" s="67"/>
    </row>
    <row r="1026" spans="1:17" ht="15.6">
      <c r="A1026" s="67"/>
      <c r="B1026" s="68"/>
      <c r="C1026" s="40"/>
      <c r="D1026" s="40"/>
      <c r="E1026" s="40"/>
      <c r="F1026" s="77"/>
      <c r="G1026" s="77"/>
      <c r="H1026" s="78"/>
      <c r="I1026" s="6"/>
      <c r="J1026" s="6"/>
      <c r="K1026" s="79"/>
      <c r="N1026" s="79"/>
      <c r="Q1026" s="67"/>
    </row>
    <row r="1027" spans="1:17" ht="15.6">
      <c r="A1027" s="67"/>
      <c r="B1027" s="68"/>
      <c r="C1027" s="40"/>
      <c r="D1027" s="40"/>
      <c r="E1027" s="40"/>
      <c r="F1027" s="77"/>
      <c r="G1027" s="77"/>
      <c r="H1027" s="78"/>
      <c r="I1027" s="6"/>
      <c r="J1027" s="6"/>
      <c r="K1027" s="79"/>
      <c r="N1027" s="79"/>
      <c r="Q1027" s="67"/>
    </row>
    <row r="1028" spans="1:17" ht="15.6">
      <c r="A1028" s="67"/>
      <c r="B1028" s="68"/>
      <c r="C1028" s="40"/>
      <c r="D1028" s="40"/>
      <c r="E1028" s="40"/>
      <c r="F1028" s="77"/>
      <c r="G1028" s="77"/>
      <c r="H1028" s="78"/>
      <c r="I1028" s="6"/>
      <c r="J1028" s="6"/>
      <c r="K1028" s="79"/>
      <c r="N1028" s="79"/>
      <c r="Q1028" s="67"/>
    </row>
    <row r="1029" spans="1:17" ht="15.6">
      <c r="A1029" s="67"/>
      <c r="B1029" s="68"/>
      <c r="C1029" s="40"/>
      <c r="D1029" s="40"/>
      <c r="E1029" s="40"/>
      <c r="F1029" s="77"/>
      <c r="G1029" s="77"/>
      <c r="H1029" s="78"/>
      <c r="I1029" s="6"/>
      <c r="J1029" s="6"/>
      <c r="K1029" s="79"/>
      <c r="N1029" s="79"/>
      <c r="Q1029" s="67"/>
    </row>
    <row r="1030" spans="1:17" ht="15.6">
      <c r="A1030" s="67"/>
      <c r="B1030" s="68"/>
      <c r="C1030" s="40"/>
      <c r="D1030" s="40"/>
      <c r="E1030" s="40"/>
      <c r="F1030" s="77"/>
      <c r="G1030" s="77"/>
      <c r="H1030" s="78"/>
      <c r="I1030" s="6"/>
      <c r="J1030" s="6"/>
      <c r="K1030" s="79"/>
      <c r="N1030" s="79"/>
      <c r="Q1030" s="67"/>
    </row>
    <row r="1031" spans="1:17" ht="15.6">
      <c r="A1031" s="67"/>
      <c r="B1031" s="68"/>
      <c r="C1031" s="40"/>
      <c r="D1031" s="40"/>
      <c r="E1031" s="40"/>
      <c r="F1031" s="77"/>
      <c r="G1031" s="77"/>
      <c r="H1031" s="78"/>
      <c r="I1031" s="6"/>
      <c r="J1031" s="6"/>
      <c r="K1031" s="79"/>
      <c r="N1031" s="79"/>
      <c r="Q1031" s="67"/>
    </row>
    <row r="1032" spans="1:17" ht="15.6">
      <c r="A1032" s="67"/>
      <c r="B1032" s="68"/>
      <c r="C1032" s="40"/>
      <c r="D1032" s="40"/>
      <c r="E1032" s="40"/>
      <c r="F1032" s="77"/>
      <c r="G1032" s="77"/>
      <c r="H1032" s="78"/>
      <c r="I1032" s="6"/>
      <c r="J1032" s="6"/>
      <c r="K1032" s="79"/>
      <c r="N1032" s="79"/>
      <c r="Q1032" s="67"/>
    </row>
    <row r="1033" spans="1:17" ht="15.6">
      <c r="A1033" s="67"/>
      <c r="B1033" s="68"/>
      <c r="C1033" s="40"/>
      <c r="D1033" s="40"/>
      <c r="E1033" s="40"/>
      <c r="F1033" s="77"/>
      <c r="G1033" s="77"/>
      <c r="H1033" s="78"/>
      <c r="I1033" s="6"/>
      <c r="J1033" s="6"/>
      <c r="K1033" s="79"/>
      <c r="N1033" s="79"/>
      <c r="Q1033" s="67"/>
    </row>
    <row r="1034" spans="1:17" ht="15.6">
      <c r="A1034" s="67"/>
      <c r="B1034" s="68"/>
      <c r="C1034" s="40"/>
      <c r="D1034" s="40"/>
      <c r="E1034" s="40"/>
      <c r="F1034" s="77"/>
      <c r="G1034" s="77"/>
      <c r="H1034" s="78"/>
      <c r="I1034" s="6"/>
      <c r="J1034" s="6"/>
      <c r="K1034" s="79"/>
      <c r="N1034" s="79"/>
      <c r="Q1034" s="67"/>
    </row>
    <row r="1035" spans="1:17" ht="15.6">
      <c r="A1035" s="67"/>
      <c r="B1035" s="68"/>
      <c r="C1035" s="40"/>
      <c r="D1035" s="40"/>
      <c r="E1035" s="40"/>
      <c r="F1035" s="77"/>
      <c r="G1035" s="77"/>
      <c r="H1035" s="78"/>
      <c r="I1035" s="6"/>
      <c r="J1035" s="6"/>
      <c r="K1035" s="79"/>
      <c r="N1035" s="79"/>
      <c r="Q1035" s="67"/>
    </row>
    <row r="1036" spans="1:17" ht="15.6">
      <c r="A1036" s="67"/>
      <c r="B1036" s="68"/>
      <c r="C1036" s="40"/>
      <c r="D1036" s="40"/>
      <c r="E1036" s="40"/>
      <c r="F1036" s="77"/>
      <c r="G1036" s="77"/>
      <c r="H1036" s="78"/>
      <c r="I1036" s="6"/>
      <c r="J1036" s="6"/>
      <c r="K1036" s="79"/>
      <c r="N1036" s="79"/>
      <c r="Q1036" s="67"/>
    </row>
    <row r="1037" spans="1:17" ht="15.6">
      <c r="A1037" s="67"/>
      <c r="B1037" s="68"/>
      <c r="C1037" s="40"/>
      <c r="D1037" s="40"/>
      <c r="E1037" s="40"/>
      <c r="F1037" s="77"/>
      <c r="G1037" s="77"/>
      <c r="H1037" s="78"/>
      <c r="I1037" s="6"/>
      <c r="J1037" s="6"/>
      <c r="K1037" s="79"/>
      <c r="N1037" s="79"/>
      <c r="Q1037" s="67"/>
    </row>
    <row r="1038" spans="1:17" ht="15.6">
      <c r="A1038" s="67"/>
      <c r="B1038" s="68"/>
      <c r="C1038" s="40"/>
      <c r="D1038" s="40"/>
      <c r="E1038" s="40"/>
      <c r="F1038" s="77"/>
      <c r="G1038" s="77"/>
      <c r="H1038" s="78"/>
      <c r="I1038" s="6"/>
      <c r="J1038" s="6"/>
      <c r="K1038" s="79"/>
      <c r="N1038" s="79"/>
      <c r="Q1038" s="67"/>
    </row>
    <row r="1039" spans="1:17" ht="15.6">
      <c r="A1039" s="67"/>
      <c r="B1039" s="68"/>
      <c r="C1039" s="40"/>
      <c r="D1039" s="40"/>
      <c r="E1039" s="40"/>
      <c r="F1039" s="77"/>
      <c r="G1039" s="77"/>
      <c r="H1039" s="78"/>
      <c r="I1039" s="6"/>
      <c r="J1039" s="6"/>
      <c r="K1039" s="79"/>
      <c r="N1039" s="79"/>
      <c r="Q1039" s="67"/>
    </row>
    <row r="1040" spans="1:17" ht="15.6">
      <c r="A1040" s="67"/>
      <c r="B1040" s="68"/>
      <c r="C1040" s="40"/>
      <c r="D1040" s="40"/>
      <c r="E1040" s="40"/>
      <c r="F1040" s="77"/>
      <c r="G1040" s="77"/>
      <c r="H1040" s="78"/>
      <c r="I1040" s="6"/>
      <c r="J1040" s="6"/>
      <c r="K1040" s="79"/>
      <c r="N1040" s="79"/>
      <c r="Q1040" s="67"/>
    </row>
    <row r="1041" spans="1:17" ht="15.6">
      <c r="A1041" s="67"/>
      <c r="B1041" s="68"/>
      <c r="C1041" s="40"/>
      <c r="D1041" s="40"/>
      <c r="E1041" s="40"/>
      <c r="F1041" s="77"/>
      <c r="G1041" s="77"/>
      <c r="H1041" s="78"/>
      <c r="I1041" s="6"/>
      <c r="J1041" s="6"/>
      <c r="K1041" s="79"/>
      <c r="N1041" s="79"/>
      <c r="Q1041" s="67"/>
    </row>
    <row r="1042" spans="1:17" ht="15.6">
      <c r="A1042" s="67"/>
      <c r="B1042" s="68"/>
      <c r="C1042" s="40"/>
      <c r="D1042" s="40"/>
      <c r="E1042" s="40"/>
      <c r="F1042" s="77"/>
      <c r="G1042" s="77"/>
      <c r="H1042" s="78"/>
      <c r="I1042" s="6"/>
      <c r="J1042" s="6"/>
      <c r="K1042" s="79"/>
      <c r="N1042" s="79"/>
      <c r="Q1042" s="67"/>
    </row>
    <row r="1043" spans="1:17" ht="15.6">
      <c r="A1043" s="67"/>
      <c r="B1043" s="68"/>
      <c r="C1043" s="40"/>
      <c r="D1043" s="40"/>
      <c r="E1043" s="40"/>
      <c r="F1043" s="77"/>
      <c r="G1043" s="77"/>
      <c r="H1043" s="78"/>
      <c r="I1043" s="6"/>
      <c r="J1043" s="6"/>
      <c r="K1043" s="79"/>
      <c r="N1043" s="79"/>
      <c r="Q1043" s="67"/>
    </row>
    <row r="1044" spans="1:17" ht="15.6">
      <c r="A1044" s="67"/>
      <c r="B1044" s="68"/>
      <c r="C1044" s="40"/>
      <c r="D1044" s="40"/>
      <c r="E1044" s="40"/>
      <c r="F1044" s="77"/>
      <c r="G1044" s="77"/>
      <c r="H1044" s="78"/>
      <c r="I1044" s="6"/>
      <c r="J1044" s="6"/>
      <c r="K1044" s="79"/>
      <c r="N1044" s="79"/>
      <c r="Q1044" s="67"/>
    </row>
    <row r="1045" spans="1:17" ht="15.6">
      <c r="A1045" s="67"/>
      <c r="B1045" s="68"/>
      <c r="C1045" s="40"/>
      <c r="D1045" s="40"/>
      <c r="E1045" s="40"/>
      <c r="F1045" s="77"/>
      <c r="G1045" s="77"/>
      <c r="H1045" s="78"/>
      <c r="I1045" s="6"/>
      <c r="J1045" s="6"/>
      <c r="K1045" s="79"/>
      <c r="N1045" s="79"/>
      <c r="Q1045" s="67"/>
    </row>
    <row r="1046" spans="1:17" ht="15.6">
      <c r="A1046" s="67"/>
      <c r="B1046" s="68"/>
      <c r="C1046" s="40"/>
      <c r="D1046" s="40"/>
      <c r="E1046" s="40"/>
      <c r="F1046" s="77"/>
      <c r="G1046" s="77"/>
      <c r="H1046" s="78"/>
      <c r="I1046" s="6"/>
      <c r="J1046" s="6"/>
      <c r="K1046" s="79"/>
      <c r="N1046" s="79"/>
      <c r="Q1046" s="67"/>
    </row>
    <row r="1047" spans="1:17" ht="15.6">
      <c r="A1047" s="67"/>
      <c r="B1047" s="68"/>
      <c r="C1047" s="40"/>
      <c r="D1047" s="40"/>
      <c r="E1047" s="40"/>
      <c r="F1047" s="77"/>
      <c r="G1047" s="77"/>
      <c r="H1047" s="78"/>
      <c r="I1047" s="6"/>
      <c r="J1047" s="6"/>
      <c r="K1047" s="79"/>
      <c r="N1047" s="79"/>
      <c r="Q1047" s="67"/>
    </row>
    <row r="1048" spans="1:17" ht="15.6">
      <c r="A1048" s="67"/>
      <c r="B1048" s="68"/>
      <c r="C1048" s="40"/>
      <c r="D1048" s="40"/>
      <c r="E1048" s="40"/>
      <c r="F1048" s="77"/>
      <c r="G1048" s="77"/>
      <c r="H1048" s="78"/>
      <c r="I1048" s="6"/>
      <c r="J1048" s="6"/>
      <c r="K1048" s="79"/>
      <c r="N1048" s="79"/>
      <c r="Q1048" s="67"/>
    </row>
    <row r="1049" spans="1:17" ht="15.6">
      <c r="A1049" s="67"/>
      <c r="B1049" s="68"/>
      <c r="C1049" s="40"/>
      <c r="D1049" s="40"/>
      <c r="E1049" s="40"/>
      <c r="F1049" s="77"/>
      <c r="G1049" s="77"/>
      <c r="H1049" s="78"/>
      <c r="I1049" s="6"/>
      <c r="J1049" s="6"/>
      <c r="K1049" s="79"/>
      <c r="N1049" s="79"/>
      <c r="Q1049" s="67"/>
    </row>
    <row r="1050" spans="1:17" ht="15.6">
      <c r="A1050" s="67"/>
      <c r="B1050" s="68"/>
      <c r="C1050" s="40"/>
      <c r="D1050" s="40"/>
      <c r="E1050" s="40"/>
      <c r="F1050" s="77"/>
      <c r="G1050" s="77"/>
      <c r="H1050" s="78"/>
      <c r="I1050" s="6"/>
      <c r="J1050" s="6"/>
      <c r="K1050" s="79"/>
      <c r="N1050" s="79"/>
      <c r="Q1050" s="67"/>
    </row>
    <row r="1051" spans="1:17" ht="15.6">
      <c r="A1051" s="67"/>
      <c r="B1051" s="68"/>
      <c r="C1051" s="40"/>
      <c r="D1051" s="40"/>
      <c r="E1051" s="40"/>
      <c r="F1051" s="77"/>
      <c r="G1051" s="77"/>
      <c r="H1051" s="78"/>
      <c r="I1051" s="6"/>
      <c r="J1051" s="6"/>
      <c r="K1051" s="79"/>
      <c r="N1051" s="79"/>
      <c r="Q1051" s="67"/>
    </row>
    <row r="1052" spans="1:17" ht="15.6">
      <c r="A1052" s="67"/>
      <c r="B1052" s="68"/>
      <c r="C1052" s="40"/>
      <c r="D1052" s="40"/>
      <c r="E1052" s="40"/>
      <c r="F1052" s="77"/>
      <c r="G1052" s="77"/>
      <c r="H1052" s="78"/>
      <c r="I1052" s="6"/>
      <c r="J1052" s="6"/>
      <c r="K1052" s="79"/>
      <c r="N1052" s="79"/>
      <c r="Q1052" s="67"/>
    </row>
    <row r="1053" spans="1:17" ht="15.6">
      <c r="A1053" s="67"/>
      <c r="B1053" s="68"/>
      <c r="C1053" s="40"/>
      <c r="D1053" s="40"/>
      <c r="E1053" s="40"/>
      <c r="F1053" s="77"/>
      <c r="G1053" s="77"/>
      <c r="H1053" s="78"/>
      <c r="I1053" s="6"/>
      <c r="J1053" s="6"/>
      <c r="K1053" s="79"/>
      <c r="N1053" s="79"/>
      <c r="Q1053" s="67"/>
    </row>
    <row r="1054" spans="1:17" ht="15.6">
      <c r="A1054" s="67"/>
      <c r="B1054" s="68"/>
      <c r="C1054" s="40"/>
      <c r="D1054" s="40"/>
      <c r="E1054" s="40"/>
      <c r="F1054" s="77"/>
      <c r="G1054" s="77"/>
      <c r="H1054" s="78"/>
      <c r="I1054" s="6"/>
      <c r="J1054" s="6"/>
      <c r="K1054" s="79"/>
      <c r="N1054" s="79"/>
      <c r="Q1054" s="67"/>
    </row>
    <row r="1055" spans="1:17" ht="15.6">
      <c r="A1055" s="67"/>
      <c r="B1055" s="68"/>
      <c r="C1055" s="40"/>
      <c r="D1055" s="40"/>
      <c r="E1055" s="40"/>
      <c r="F1055" s="77"/>
      <c r="G1055" s="77"/>
      <c r="H1055" s="78"/>
      <c r="I1055" s="6"/>
      <c r="J1055" s="6"/>
      <c r="K1055" s="79"/>
      <c r="N1055" s="79"/>
      <c r="Q1055" s="67"/>
    </row>
    <row r="1056" spans="1:17" ht="15.6">
      <c r="A1056" s="67"/>
      <c r="B1056" s="68"/>
      <c r="C1056" s="40"/>
      <c r="D1056" s="40"/>
      <c r="E1056" s="40"/>
      <c r="F1056" s="77"/>
      <c r="G1056" s="77"/>
      <c r="H1056" s="78"/>
      <c r="I1056" s="6"/>
      <c r="J1056" s="6"/>
      <c r="K1056" s="79"/>
      <c r="N1056" s="79"/>
      <c r="Q1056" s="67"/>
    </row>
    <row r="1057" spans="1:17" ht="15.6">
      <c r="A1057" s="67"/>
      <c r="B1057" s="68"/>
      <c r="C1057" s="40"/>
      <c r="D1057" s="40"/>
      <c r="E1057" s="40"/>
      <c r="F1057" s="77"/>
      <c r="G1057" s="77"/>
      <c r="H1057" s="78"/>
      <c r="I1057" s="6"/>
      <c r="J1057" s="6"/>
      <c r="K1057" s="79"/>
      <c r="N1057" s="79"/>
      <c r="Q1057" s="67"/>
    </row>
    <row r="1058" spans="1:17" ht="15.6">
      <c r="A1058" s="67"/>
      <c r="B1058" s="68"/>
      <c r="C1058" s="40"/>
      <c r="D1058" s="40"/>
      <c r="E1058" s="40"/>
      <c r="F1058" s="77"/>
      <c r="G1058" s="77"/>
      <c r="H1058" s="78"/>
      <c r="I1058" s="6"/>
      <c r="J1058" s="6"/>
      <c r="K1058" s="79"/>
      <c r="N1058" s="79"/>
      <c r="Q1058" s="67"/>
    </row>
    <row r="1059" spans="1:17" ht="15.6">
      <c r="A1059" s="67"/>
      <c r="B1059" s="68"/>
      <c r="C1059" s="40"/>
      <c r="D1059" s="40"/>
      <c r="E1059" s="40"/>
      <c r="F1059" s="77"/>
      <c r="G1059" s="77"/>
      <c r="H1059" s="78"/>
      <c r="I1059" s="6"/>
      <c r="J1059" s="6"/>
      <c r="K1059" s="79"/>
      <c r="N1059" s="79"/>
      <c r="Q1059" s="67"/>
    </row>
    <row r="1060" spans="1:17" ht="15.6">
      <c r="A1060" s="67"/>
      <c r="B1060" s="68"/>
      <c r="C1060" s="40"/>
      <c r="D1060" s="40"/>
      <c r="E1060" s="40"/>
      <c r="F1060" s="77"/>
      <c r="G1060" s="77"/>
      <c r="H1060" s="78"/>
      <c r="I1060" s="6"/>
      <c r="J1060" s="6"/>
      <c r="K1060" s="79"/>
      <c r="N1060" s="79"/>
      <c r="Q1060" s="67"/>
    </row>
    <row r="1061" spans="1:17" ht="15.6">
      <c r="A1061" s="67"/>
      <c r="B1061" s="68"/>
      <c r="C1061" s="40"/>
      <c r="D1061" s="40"/>
      <c r="E1061" s="40"/>
      <c r="F1061" s="77"/>
      <c r="G1061" s="77"/>
      <c r="H1061" s="78"/>
      <c r="I1061" s="6"/>
      <c r="J1061" s="6"/>
      <c r="K1061" s="79"/>
      <c r="N1061" s="79"/>
      <c r="Q1061" s="67"/>
    </row>
    <row r="1062" spans="1:17" ht="15.6">
      <c r="A1062" s="67"/>
      <c r="B1062" s="68"/>
      <c r="C1062" s="40"/>
      <c r="D1062" s="40"/>
      <c r="E1062" s="40"/>
      <c r="F1062" s="77"/>
      <c r="G1062" s="77"/>
      <c r="H1062" s="78"/>
      <c r="I1062" s="6"/>
      <c r="J1062" s="6"/>
      <c r="K1062" s="79"/>
      <c r="N1062" s="79"/>
      <c r="Q1062" s="67"/>
    </row>
    <row r="1063" spans="1:17" ht="15.6">
      <c r="A1063" s="67"/>
      <c r="B1063" s="68"/>
      <c r="C1063" s="40"/>
      <c r="D1063" s="40"/>
      <c r="E1063" s="40"/>
      <c r="F1063" s="77"/>
      <c r="G1063" s="77"/>
      <c r="H1063" s="78"/>
      <c r="I1063" s="6"/>
      <c r="J1063" s="6"/>
      <c r="K1063" s="79"/>
      <c r="N1063" s="79"/>
      <c r="Q1063" s="67"/>
    </row>
    <row r="1064" spans="1:17" ht="15.6">
      <c r="A1064" s="67"/>
      <c r="B1064" s="68"/>
      <c r="C1064" s="40"/>
      <c r="D1064" s="40"/>
      <c r="E1064" s="40"/>
      <c r="F1064" s="77"/>
      <c r="G1064" s="77"/>
      <c r="H1064" s="78"/>
      <c r="I1064" s="6"/>
      <c r="J1064" s="6"/>
      <c r="K1064" s="79"/>
      <c r="N1064" s="79"/>
      <c r="Q1064" s="67"/>
    </row>
    <row r="1065" spans="1:17" ht="15.6">
      <c r="A1065" s="67"/>
      <c r="B1065" s="68"/>
      <c r="C1065" s="40"/>
      <c r="D1065" s="40"/>
      <c r="E1065" s="40"/>
      <c r="F1065" s="77"/>
      <c r="G1065" s="77"/>
      <c r="H1065" s="78"/>
      <c r="I1065" s="6"/>
      <c r="J1065" s="6"/>
      <c r="K1065" s="79"/>
      <c r="N1065" s="79"/>
      <c r="Q1065" s="67"/>
    </row>
    <row r="1066" spans="1:17" ht="15.6">
      <c r="A1066" s="67"/>
      <c r="B1066" s="68"/>
      <c r="C1066" s="40"/>
      <c r="D1066" s="40"/>
      <c r="E1066" s="40"/>
      <c r="F1066" s="77"/>
      <c r="G1066" s="77"/>
      <c r="H1066" s="78"/>
      <c r="I1066" s="6"/>
      <c r="J1066" s="6"/>
      <c r="K1066" s="79"/>
      <c r="N1066" s="79"/>
      <c r="Q1066" s="67"/>
    </row>
    <row r="1067" spans="1:17" ht="15.6">
      <c r="A1067" s="67"/>
      <c r="B1067" s="68"/>
      <c r="C1067" s="40"/>
      <c r="D1067" s="40"/>
      <c r="E1067" s="40"/>
      <c r="F1067" s="77"/>
      <c r="G1067" s="77"/>
      <c r="H1067" s="78"/>
      <c r="I1067" s="6"/>
      <c r="J1067" s="6"/>
      <c r="K1067" s="79"/>
      <c r="N1067" s="79"/>
      <c r="Q1067" s="67"/>
    </row>
    <row r="1068" spans="1:17" ht="15.6">
      <c r="A1068" s="67"/>
      <c r="B1068" s="68"/>
      <c r="C1068" s="40"/>
      <c r="D1068" s="40"/>
      <c r="E1068" s="40"/>
      <c r="F1068" s="77"/>
      <c r="G1068" s="77"/>
      <c r="H1068" s="78"/>
      <c r="I1068" s="6"/>
      <c r="J1068" s="6"/>
      <c r="K1068" s="79"/>
      <c r="N1068" s="79"/>
      <c r="Q1068" s="67"/>
    </row>
    <row r="1069" spans="1:17" ht="15.6">
      <c r="A1069" s="67"/>
      <c r="B1069" s="68"/>
      <c r="C1069" s="40"/>
      <c r="D1069" s="40"/>
      <c r="E1069" s="40"/>
      <c r="F1069" s="77"/>
      <c r="G1069" s="77"/>
      <c r="H1069" s="78"/>
      <c r="I1069" s="6"/>
      <c r="J1069" s="6"/>
      <c r="K1069" s="79"/>
      <c r="N1069" s="79"/>
      <c r="Q1069" s="67"/>
    </row>
    <row r="1070" spans="1:17" ht="15.6">
      <c r="A1070" s="67"/>
      <c r="B1070" s="68"/>
      <c r="C1070" s="40"/>
      <c r="D1070" s="40"/>
      <c r="E1070" s="40"/>
      <c r="F1070" s="77"/>
      <c r="G1070" s="77"/>
      <c r="H1070" s="78"/>
      <c r="I1070" s="6"/>
      <c r="J1070" s="6"/>
      <c r="K1070" s="79"/>
      <c r="N1070" s="79"/>
      <c r="Q1070" s="67"/>
    </row>
    <row r="1071" spans="1:17" ht="15.6">
      <c r="A1071" s="67"/>
      <c r="B1071" s="68"/>
      <c r="C1071" s="40"/>
      <c r="D1071" s="40"/>
      <c r="E1071" s="40"/>
      <c r="F1071" s="77"/>
      <c r="G1071" s="77"/>
      <c r="H1071" s="78"/>
      <c r="I1071" s="6"/>
      <c r="J1071" s="6"/>
      <c r="K1071" s="79"/>
      <c r="N1071" s="79"/>
      <c r="Q1071" s="67"/>
    </row>
    <row r="1072" spans="1:17" ht="15.6">
      <c r="A1072" s="67"/>
      <c r="B1072" s="68"/>
      <c r="C1072" s="40"/>
      <c r="D1072" s="40"/>
      <c r="E1072" s="40"/>
      <c r="F1072" s="77"/>
      <c r="G1072" s="77"/>
      <c r="H1072" s="78"/>
      <c r="I1072" s="6"/>
      <c r="J1072" s="6"/>
      <c r="K1072" s="79"/>
      <c r="N1072" s="79"/>
      <c r="Q1072" s="67"/>
    </row>
    <row r="1073" spans="1:17" ht="15.6">
      <c r="A1073" s="67"/>
      <c r="B1073" s="68"/>
      <c r="C1073" s="40"/>
      <c r="D1073" s="40"/>
      <c r="E1073" s="40"/>
      <c r="F1073" s="77"/>
      <c r="G1073" s="77"/>
      <c r="H1073" s="78"/>
      <c r="I1073" s="6"/>
      <c r="J1073" s="6"/>
      <c r="K1073" s="79"/>
      <c r="N1073" s="79"/>
      <c r="Q1073" s="67"/>
    </row>
    <row r="1074" spans="1:17" ht="15.6">
      <c r="A1074" s="67"/>
      <c r="B1074" s="68"/>
      <c r="C1074" s="40"/>
      <c r="D1074" s="40"/>
      <c r="E1074" s="40"/>
      <c r="F1074" s="77"/>
      <c r="G1074" s="77"/>
      <c r="H1074" s="78"/>
      <c r="I1074" s="6"/>
      <c r="J1074" s="6"/>
      <c r="K1074" s="79"/>
      <c r="N1074" s="79"/>
      <c r="Q1074" s="67"/>
    </row>
    <row r="1075" spans="1:17" ht="15.6">
      <c r="A1075" s="67"/>
      <c r="B1075" s="68"/>
      <c r="C1075" s="40"/>
      <c r="D1075" s="40"/>
      <c r="E1075" s="40"/>
      <c r="F1075" s="77"/>
      <c r="G1075" s="77"/>
      <c r="H1075" s="78"/>
      <c r="I1075" s="6"/>
      <c r="J1075" s="6"/>
      <c r="K1075" s="79"/>
      <c r="N1075" s="79"/>
      <c r="Q1075" s="67"/>
    </row>
    <row r="1076" spans="1:17" ht="15.6">
      <c r="A1076" s="67"/>
      <c r="B1076" s="68"/>
      <c r="C1076" s="40"/>
      <c r="D1076" s="40"/>
      <c r="E1076" s="40"/>
      <c r="F1076" s="77"/>
      <c r="G1076" s="77"/>
      <c r="H1076" s="78"/>
      <c r="I1076" s="6"/>
      <c r="J1076" s="6"/>
      <c r="K1076" s="79"/>
      <c r="N1076" s="79"/>
      <c r="Q1076" s="67"/>
    </row>
    <row r="1077" spans="1:17" ht="15.6">
      <c r="A1077" s="67"/>
      <c r="B1077" s="68"/>
      <c r="C1077" s="40"/>
      <c r="D1077" s="40"/>
      <c r="E1077" s="40"/>
      <c r="F1077" s="77"/>
      <c r="G1077" s="77"/>
      <c r="H1077" s="78"/>
      <c r="I1077" s="6"/>
      <c r="J1077" s="6"/>
      <c r="K1077" s="79"/>
      <c r="N1077" s="79"/>
      <c r="Q1077" s="67"/>
    </row>
    <row r="1078" spans="1:17" ht="15.6">
      <c r="A1078" s="67"/>
      <c r="B1078" s="68"/>
      <c r="C1078" s="40"/>
      <c r="D1078" s="40"/>
      <c r="E1078" s="40"/>
      <c r="F1078" s="77"/>
      <c r="G1078" s="77"/>
      <c r="H1078" s="78"/>
      <c r="I1078" s="6"/>
      <c r="J1078" s="6"/>
      <c r="K1078" s="79"/>
      <c r="N1078" s="79"/>
      <c r="Q1078" s="67"/>
    </row>
    <row r="1079" spans="1:17" ht="15.6">
      <c r="A1079" s="67"/>
      <c r="B1079" s="68"/>
      <c r="C1079" s="40"/>
      <c r="D1079" s="40"/>
      <c r="E1079" s="40"/>
      <c r="F1079" s="77"/>
      <c r="G1079" s="77"/>
      <c r="H1079" s="78"/>
      <c r="I1079" s="6"/>
      <c r="J1079" s="6"/>
      <c r="K1079" s="79"/>
      <c r="N1079" s="79"/>
      <c r="Q1079" s="67"/>
    </row>
    <row r="1080" spans="1:17" ht="15.6">
      <c r="A1080" s="67"/>
      <c r="B1080" s="68"/>
      <c r="C1080" s="40"/>
      <c r="D1080" s="40"/>
      <c r="E1080" s="40"/>
      <c r="F1080" s="77"/>
      <c r="G1080" s="77"/>
      <c r="H1080" s="78"/>
      <c r="I1080" s="6"/>
      <c r="J1080" s="6"/>
      <c r="K1080" s="79"/>
      <c r="N1080" s="79"/>
      <c r="Q1080" s="67"/>
    </row>
    <row r="1081" spans="1:17" ht="15.6">
      <c r="A1081" s="67"/>
      <c r="B1081" s="68"/>
      <c r="C1081" s="40"/>
      <c r="D1081" s="40"/>
      <c r="E1081" s="40"/>
      <c r="F1081" s="77"/>
      <c r="G1081" s="77"/>
      <c r="H1081" s="78"/>
      <c r="I1081" s="6"/>
      <c r="J1081" s="6"/>
      <c r="K1081" s="79"/>
      <c r="N1081" s="79"/>
      <c r="Q1081" s="67"/>
    </row>
    <row r="1082" spans="1:17" ht="15.6">
      <c r="A1082" s="67"/>
      <c r="B1082" s="68"/>
      <c r="C1082" s="40"/>
      <c r="D1082" s="40"/>
      <c r="E1082" s="40"/>
      <c r="F1082" s="77"/>
      <c r="G1082" s="77"/>
      <c r="H1082" s="78"/>
      <c r="I1082" s="6"/>
      <c r="J1082" s="6"/>
      <c r="K1082" s="79"/>
      <c r="N1082" s="79"/>
      <c r="Q1082" s="67"/>
    </row>
    <row r="1083" spans="1:17" ht="15.6">
      <c r="A1083" s="67"/>
      <c r="B1083" s="68"/>
      <c r="C1083" s="40"/>
      <c r="D1083" s="40"/>
      <c r="E1083" s="40"/>
      <c r="F1083" s="77"/>
      <c r="G1083" s="77"/>
      <c r="H1083" s="78"/>
      <c r="I1083" s="6"/>
      <c r="J1083" s="6"/>
      <c r="K1083" s="79"/>
      <c r="N1083" s="79"/>
      <c r="Q1083" s="67"/>
    </row>
    <row r="1084" spans="1:17" ht="15.6">
      <c r="A1084" s="67"/>
      <c r="B1084" s="68"/>
      <c r="C1084" s="40"/>
      <c r="D1084" s="40"/>
      <c r="E1084" s="40"/>
      <c r="F1084" s="77"/>
      <c r="G1084" s="77"/>
      <c r="H1084" s="78"/>
      <c r="I1084" s="6"/>
      <c r="J1084" s="6"/>
      <c r="K1084" s="79"/>
      <c r="N1084" s="79"/>
      <c r="Q1084" s="67"/>
    </row>
    <row r="1085" spans="1:17" ht="15.6">
      <c r="A1085" s="67"/>
      <c r="B1085" s="68"/>
      <c r="C1085" s="40"/>
      <c r="D1085" s="40"/>
      <c r="E1085" s="40"/>
      <c r="F1085" s="77"/>
      <c r="G1085" s="77"/>
      <c r="H1085" s="78"/>
      <c r="I1085" s="6"/>
      <c r="J1085" s="6"/>
      <c r="K1085" s="79"/>
      <c r="N1085" s="79"/>
      <c r="Q1085" s="67"/>
    </row>
    <row r="1086" spans="1:17" ht="15.6">
      <c r="A1086" s="67"/>
      <c r="B1086" s="68"/>
      <c r="C1086" s="40"/>
      <c r="D1086" s="40"/>
      <c r="E1086" s="40"/>
      <c r="F1086" s="77"/>
      <c r="G1086" s="77"/>
      <c r="H1086" s="78"/>
      <c r="I1086" s="6"/>
      <c r="J1086" s="6"/>
      <c r="K1086" s="79"/>
      <c r="N1086" s="79"/>
      <c r="Q1086" s="67"/>
    </row>
    <row r="1087" spans="1:17" ht="15.6">
      <c r="A1087" s="67"/>
      <c r="B1087" s="68"/>
      <c r="C1087" s="40"/>
      <c r="D1087" s="40"/>
      <c r="E1087" s="40"/>
      <c r="F1087" s="77"/>
      <c r="G1087" s="77"/>
      <c r="H1087" s="78"/>
      <c r="I1087" s="6"/>
      <c r="J1087" s="6"/>
      <c r="K1087" s="79"/>
      <c r="N1087" s="79"/>
      <c r="Q1087" s="67"/>
    </row>
    <row r="1088" spans="1:17" ht="15.6">
      <c r="A1088" s="67"/>
      <c r="B1088" s="68"/>
      <c r="C1088" s="40"/>
      <c r="D1088" s="40"/>
      <c r="E1088" s="40"/>
      <c r="F1088" s="77"/>
      <c r="G1088" s="77"/>
      <c r="H1088" s="78"/>
      <c r="I1088" s="6"/>
      <c r="J1088" s="6"/>
      <c r="K1088" s="79"/>
      <c r="N1088" s="79"/>
      <c r="Q1088" s="67"/>
    </row>
    <row r="1089" spans="1:17" ht="15.6">
      <c r="A1089" s="67"/>
      <c r="B1089" s="68"/>
      <c r="C1089" s="40"/>
      <c r="D1089" s="40"/>
      <c r="E1089" s="40"/>
      <c r="F1089" s="77"/>
      <c r="G1089" s="77"/>
      <c r="H1089" s="78"/>
      <c r="I1089" s="6"/>
      <c r="J1089" s="6"/>
      <c r="K1089" s="79"/>
      <c r="N1089" s="79"/>
      <c r="Q1089" s="67"/>
    </row>
    <row r="1090" spans="1:17" ht="15.6">
      <c r="A1090" s="67"/>
      <c r="B1090" s="68"/>
      <c r="C1090" s="40"/>
      <c r="D1090" s="40"/>
      <c r="E1090" s="40"/>
      <c r="F1090" s="77"/>
      <c r="G1090" s="77"/>
      <c r="H1090" s="78"/>
      <c r="I1090" s="6"/>
      <c r="J1090" s="6"/>
      <c r="K1090" s="79"/>
      <c r="N1090" s="79"/>
      <c r="Q1090" s="67"/>
    </row>
    <row r="1091" spans="1:17" ht="15.6">
      <c r="A1091" s="67"/>
      <c r="B1091" s="68"/>
      <c r="C1091" s="40"/>
      <c r="D1091" s="40"/>
      <c r="E1091" s="40"/>
      <c r="F1091" s="77"/>
      <c r="G1091" s="77"/>
      <c r="H1091" s="78"/>
      <c r="I1091" s="6"/>
      <c r="J1091" s="6"/>
      <c r="K1091" s="79"/>
      <c r="N1091" s="79"/>
      <c r="Q1091" s="67"/>
    </row>
    <row r="1092" spans="1:17" ht="15.6">
      <c r="A1092" s="67"/>
      <c r="B1092" s="68"/>
      <c r="C1092" s="40"/>
      <c r="D1092" s="40"/>
      <c r="E1092" s="40"/>
      <c r="F1092" s="77"/>
      <c r="G1092" s="77"/>
      <c r="H1092" s="78"/>
      <c r="I1092" s="6"/>
      <c r="J1092" s="6"/>
      <c r="K1092" s="79"/>
      <c r="N1092" s="79"/>
      <c r="Q1092" s="67"/>
    </row>
    <row r="1093" spans="1:17" ht="15.6">
      <c r="A1093" s="67"/>
      <c r="B1093" s="68"/>
      <c r="C1093" s="40"/>
      <c r="D1093" s="40"/>
      <c r="E1093" s="40"/>
      <c r="F1093" s="77"/>
      <c r="G1093" s="77"/>
      <c r="H1093" s="78"/>
      <c r="I1093" s="6"/>
      <c r="J1093" s="6"/>
      <c r="K1093" s="79"/>
      <c r="N1093" s="79"/>
      <c r="Q1093" s="67"/>
    </row>
    <row r="1094" spans="1:17" ht="15.6">
      <c r="A1094" s="67"/>
      <c r="B1094" s="68"/>
      <c r="C1094" s="40"/>
      <c r="D1094" s="40"/>
      <c r="E1094" s="40"/>
      <c r="F1094" s="77"/>
      <c r="G1094" s="77"/>
      <c r="H1094" s="78"/>
      <c r="I1094" s="6"/>
      <c r="J1094" s="6"/>
      <c r="K1094" s="79"/>
      <c r="N1094" s="79"/>
      <c r="Q1094" s="67"/>
    </row>
    <row r="1095" spans="1:17" ht="15.6">
      <c r="A1095" s="67"/>
      <c r="B1095" s="68"/>
      <c r="C1095" s="40"/>
      <c r="D1095" s="40"/>
      <c r="E1095" s="40"/>
      <c r="F1095" s="77"/>
      <c r="G1095" s="77"/>
      <c r="H1095" s="78"/>
      <c r="I1095" s="6"/>
      <c r="J1095" s="6"/>
      <c r="K1095" s="79"/>
      <c r="N1095" s="79"/>
      <c r="Q1095" s="67"/>
    </row>
    <row r="1096" spans="1:17" ht="15.6">
      <c r="A1096" s="67"/>
      <c r="B1096" s="68"/>
      <c r="C1096" s="40"/>
      <c r="D1096" s="40"/>
      <c r="E1096" s="40"/>
      <c r="F1096" s="77"/>
      <c r="G1096" s="77"/>
      <c r="H1096" s="78"/>
      <c r="I1096" s="6"/>
      <c r="J1096" s="6"/>
      <c r="K1096" s="79"/>
      <c r="N1096" s="79"/>
      <c r="Q1096" s="67"/>
    </row>
    <row r="1097" spans="1:17" ht="15.6">
      <c r="A1097" s="67"/>
      <c r="B1097" s="68"/>
      <c r="C1097" s="40"/>
      <c r="D1097" s="40"/>
      <c r="E1097" s="40"/>
      <c r="F1097" s="77"/>
      <c r="G1097" s="77"/>
      <c r="H1097" s="78"/>
      <c r="I1097" s="6"/>
      <c r="J1097" s="6"/>
      <c r="K1097" s="79"/>
      <c r="N1097" s="79"/>
      <c r="Q1097" s="67"/>
    </row>
    <row r="1098" spans="1:17" ht="15.6">
      <c r="A1098" s="67"/>
      <c r="B1098" s="68"/>
      <c r="C1098" s="40"/>
      <c r="D1098" s="40"/>
      <c r="E1098" s="40"/>
      <c r="F1098" s="77"/>
      <c r="G1098" s="77"/>
      <c r="H1098" s="78"/>
      <c r="I1098" s="6"/>
      <c r="J1098" s="6"/>
      <c r="K1098" s="79"/>
      <c r="N1098" s="79"/>
      <c r="Q1098" s="67"/>
    </row>
    <row r="1099" spans="1:17" ht="15.6">
      <c r="A1099" s="67"/>
      <c r="B1099" s="68"/>
      <c r="C1099" s="40"/>
      <c r="D1099" s="40"/>
      <c r="E1099" s="40"/>
      <c r="F1099" s="77"/>
      <c r="G1099" s="77"/>
      <c r="H1099" s="78"/>
      <c r="I1099" s="6"/>
      <c r="J1099" s="6"/>
      <c r="K1099" s="79"/>
      <c r="N1099" s="79"/>
      <c r="Q1099" s="67"/>
    </row>
    <row r="1100" spans="1:17" ht="15.6">
      <c r="A1100" s="67"/>
      <c r="B1100" s="68"/>
      <c r="C1100" s="40"/>
      <c r="D1100" s="40"/>
      <c r="E1100" s="40"/>
      <c r="F1100" s="77"/>
      <c r="G1100" s="77"/>
      <c r="H1100" s="78"/>
      <c r="I1100" s="6"/>
      <c r="J1100" s="6"/>
      <c r="K1100" s="79"/>
      <c r="N1100" s="79"/>
      <c r="Q1100" s="67"/>
    </row>
    <row r="1101" spans="1:17" ht="15.6">
      <c r="A1101" s="67"/>
      <c r="B1101" s="68"/>
      <c r="C1101" s="40"/>
      <c r="D1101" s="40"/>
      <c r="E1101" s="40"/>
      <c r="F1101" s="77"/>
      <c r="G1101" s="77"/>
      <c r="H1101" s="78"/>
      <c r="I1101" s="6"/>
      <c r="J1101" s="6"/>
      <c r="K1101" s="79"/>
      <c r="N1101" s="79"/>
      <c r="Q1101" s="67"/>
    </row>
    <row r="1102" spans="1:17" ht="15.6">
      <c r="A1102" s="67"/>
      <c r="B1102" s="68"/>
      <c r="C1102" s="40"/>
      <c r="D1102" s="40"/>
      <c r="E1102" s="40"/>
      <c r="F1102" s="77"/>
      <c r="G1102" s="77"/>
      <c r="H1102" s="78"/>
      <c r="I1102" s="6"/>
      <c r="J1102" s="6"/>
      <c r="K1102" s="79"/>
      <c r="N1102" s="79"/>
      <c r="Q1102" s="67"/>
    </row>
    <row r="1103" spans="1:17" ht="15.6">
      <c r="A1103" s="67"/>
      <c r="B1103" s="68"/>
      <c r="C1103" s="40"/>
      <c r="D1103" s="40"/>
      <c r="E1103" s="40"/>
      <c r="F1103" s="77"/>
      <c r="G1103" s="77"/>
      <c r="H1103" s="78"/>
      <c r="I1103" s="6"/>
      <c r="J1103" s="6"/>
      <c r="K1103" s="79"/>
      <c r="N1103" s="79"/>
      <c r="Q1103" s="67"/>
    </row>
    <row r="1104" spans="1:17" ht="15.6">
      <c r="A1104" s="67"/>
      <c r="B1104" s="68"/>
      <c r="C1104" s="40"/>
      <c r="D1104" s="40"/>
      <c r="E1104" s="40"/>
      <c r="F1104" s="77"/>
      <c r="G1104" s="77"/>
      <c r="H1104" s="78"/>
      <c r="I1104" s="6"/>
      <c r="J1104" s="6"/>
      <c r="K1104" s="79"/>
      <c r="N1104" s="79"/>
      <c r="Q1104" s="67"/>
    </row>
    <row r="1105" spans="1:17" ht="15.6">
      <c r="A1105" s="67"/>
      <c r="B1105" s="68"/>
      <c r="C1105" s="40"/>
      <c r="D1105" s="40"/>
      <c r="E1105" s="40"/>
      <c r="F1105" s="77"/>
      <c r="G1105" s="77"/>
      <c r="H1105" s="78"/>
      <c r="I1105" s="6"/>
      <c r="J1105" s="6"/>
      <c r="K1105" s="79"/>
      <c r="N1105" s="79"/>
      <c r="Q1105" s="67"/>
    </row>
    <row r="1106" spans="1:17" ht="15.6">
      <c r="A1106" s="67"/>
      <c r="B1106" s="68"/>
      <c r="C1106" s="40"/>
      <c r="D1106" s="40"/>
      <c r="E1106" s="40"/>
      <c r="F1106" s="77"/>
      <c r="G1106" s="77"/>
      <c r="H1106" s="78"/>
      <c r="I1106" s="6"/>
      <c r="J1106" s="6"/>
      <c r="K1106" s="79"/>
      <c r="N1106" s="79"/>
      <c r="Q1106" s="67"/>
    </row>
    <row r="1107" spans="1:17" ht="15.6">
      <c r="A1107" s="67"/>
      <c r="B1107" s="68"/>
      <c r="C1107" s="40"/>
      <c r="D1107" s="40"/>
      <c r="E1107" s="40"/>
      <c r="F1107" s="77"/>
      <c r="G1107" s="77"/>
      <c r="H1107" s="78"/>
      <c r="I1107" s="6"/>
      <c r="J1107" s="6"/>
      <c r="K1107" s="79"/>
      <c r="N1107" s="79"/>
      <c r="Q1107" s="67"/>
    </row>
    <row r="1108" spans="1:17" ht="15.6">
      <c r="A1108" s="67"/>
      <c r="B1108" s="68"/>
      <c r="C1108" s="40"/>
      <c r="D1108" s="40"/>
      <c r="E1108" s="40"/>
      <c r="F1108" s="77"/>
      <c r="G1108" s="77"/>
      <c r="H1108" s="78"/>
      <c r="I1108" s="6"/>
      <c r="J1108" s="6"/>
      <c r="K1108" s="79"/>
      <c r="N1108" s="79"/>
      <c r="Q1108" s="67"/>
    </row>
    <row r="1109" spans="1:17" ht="15.6">
      <c r="A1109" s="67"/>
      <c r="B1109" s="68"/>
      <c r="C1109" s="40"/>
      <c r="D1109" s="40"/>
      <c r="E1109" s="40"/>
      <c r="F1109" s="77"/>
      <c r="G1109" s="77"/>
      <c r="H1109" s="78"/>
      <c r="I1109" s="6"/>
      <c r="J1109" s="6"/>
      <c r="K1109" s="79"/>
      <c r="N1109" s="79"/>
      <c r="Q1109" s="67"/>
    </row>
    <row r="1110" spans="1:17" ht="15.6">
      <c r="A1110" s="67"/>
      <c r="B1110" s="68"/>
      <c r="C1110" s="40"/>
      <c r="D1110" s="40"/>
      <c r="E1110" s="40"/>
      <c r="F1110" s="77"/>
      <c r="G1110" s="77"/>
      <c r="H1110" s="78"/>
      <c r="I1110" s="6"/>
      <c r="J1110" s="6"/>
      <c r="K1110" s="79"/>
      <c r="N1110" s="79"/>
      <c r="Q1110" s="67"/>
    </row>
    <row r="1111" spans="1:17" ht="15.6">
      <c r="A1111" s="67"/>
      <c r="B1111" s="68"/>
      <c r="C1111" s="40"/>
      <c r="D1111" s="40"/>
      <c r="E1111" s="40"/>
      <c r="F1111" s="77"/>
      <c r="G1111" s="77"/>
      <c r="H1111" s="78"/>
      <c r="I1111" s="6"/>
      <c r="J1111" s="6"/>
      <c r="K1111" s="79"/>
      <c r="N1111" s="79"/>
      <c r="Q1111" s="67"/>
    </row>
    <row r="1112" spans="1:17" ht="15.6">
      <c r="A1112" s="67"/>
      <c r="B1112" s="68"/>
      <c r="C1112" s="40"/>
      <c r="D1112" s="40"/>
      <c r="E1112" s="40"/>
      <c r="F1112" s="77"/>
      <c r="G1112" s="77"/>
      <c r="H1112" s="78"/>
      <c r="I1112" s="6"/>
      <c r="J1112" s="6"/>
      <c r="K1112" s="79"/>
      <c r="N1112" s="79"/>
      <c r="Q1112" s="67"/>
    </row>
    <row r="1113" spans="1:17" ht="15.6">
      <c r="A1113" s="67"/>
      <c r="B1113" s="68"/>
      <c r="C1113" s="40"/>
      <c r="D1113" s="40"/>
      <c r="E1113" s="40"/>
      <c r="F1113" s="77"/>
      <c r="G1113" s="77"/>
      <c r="H1113" s="78"/>
      <c r="I1113" s="6"/>
      <c r="J1113" s="6"/>
      <c r="K1113" s="79"/>
      <c r="N1113" s="79"/>
      <c r="Q1113" s="67"/>
    </row>
    <row r="1114" spans="1:17" ht="15.6">
      <c r="A1114" s="67"/>
      <c r="B1114" s="68"/>
      <c r="C1114" s="40"/>
      <c r="D1114" s="40"/>
      <c r="E1114" s="40"/>
      <c r="F1114" s="77"/>
      <c r="G1114" s="77"/>
      <c r="H1114" s="78"/>
      <c r="I1114" s="6"/>
      <c r="J1114" s="6"/>
      <c r="K1114" s="79"/>
      <c r="N1114" s="79"/>
      <c r="Q1114" s="67"/>
    </row>
    <row r="1115" spans="1:17" ht="15.6">
      <c r="A1115" s="67"/>
      <c r="B1115" s="68"/>
      <c r="C1115" s="40"/>
      <c r="D1115" s="40"/>
      <c r="E1115" s="40"/>
      <c r="F1115" s="77"/>
      <c r="G1115" s="77"/>
      <c r="H1115" s="78"/>
      <c r="I1115" s="6"/>
      <c r="J1115" s="6"/>
      <c r="K1115" s="79"/>
      <c r="N1115" s="79"/>
      <c r="Q1115" s="67"/>
    </row>
    <row r="1116" spans="1:17" ht="15.6">
      <c r="A1116" s="67"/>
      <c r="B1116" s="68"/>
      <c r="C1116" s="40"/>
      <c r="D1116" s="40"/>
      <c r="E1116" s="40"/>
      <c r="F1116" s="77"/>
      <c r="G1116" s="77"/>
      <c r="H1116" s="78"/>
      <c r="I1116" s="6"/>
      <c r="J1116" s="6"/>
      <c r="K1116" s="79"/>
      <c r="N1116" s="79"/>
      <c r="Q1116" s="67"/>
    </row>
    <row r="1117" spans="1:17" ht="15.6">
      <c r="A1117" s="67"/>
      <c r="B1117" s="68"/>
      <c r="C1117" s="40"/>
      <c r="D1117" s="40"/>
      <c r="E1117" s="40"/>
      <c r="F1117" s="77"/>
      <c r="G1117" s="77"/>
      <c r="H1117" s="78"/>
      <c r="I1117" s="6"/>
      <c r="J1117" s="6"/>
      <c r="K1117" s="79"/>
      <c r="N1117" s="79"/>
      <c r="Q1117" s="67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M101"/>
  <sheetViews>
    <sheetView zoomScale="85" zoomScaleNormal="85" zoomScalePageLayoutView="85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L83" sqref="L83"/>
    </sheetView>
  </sheetViews>
  <sheetFormatPr defaultColWidth="10" defaultRowHeight="14.4"/>
  <cols>
    <col min="1" max="1" width="4.33203125" bestFit="1" customWidth="1"/>
    <col min="2" max="2" width="14.88671875" bestFit="1" customWidth="1"/>
    <col min="3" max="3" width="42.6640625" bestFit="1" customWidth="1"/>
    <col min="4" max="4" width="12" bestFit="1" customWidth="1"/>
    <col min="5" max="5" width="20.6640625" bestFit="1" customWidth="1"/>
    <col min="6" max="6" width="16.88671875" customWidth="1"/>
    <col min="7" max="7" width="5.33203125" bestFit="1" customWidth="1"/>
    <col min="8" max="8" width="16.88671875" customWidth="1"/>
    <col min="9" max="9" width="18.33203125" bestFit="1" customWidth="1"/>
    <col min="10" max="10" width="16.88671875" customWidth="1"/>
    <col min="11" max="11" width="18.33203125" bestFit="1" customWidth="1"/>
    <col min="12" max="12" width="10.88671875" bestFit="1" customWidth="1"/>
    <col min="13" max="13" width="16.88671875" customWidth="1"/>
  </cols>
  <sheetData>
    <row r="5" spans="1:13" ht="17.399999999999999">
      <c r="A5" s="338" t="s">
        <v>274</v>
      </c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</row>
    <row r="6" spans="1:13" s="124" customFormat="1" ht="41.4">
      <c r="A6" s="117" t="s">
        <v>275</v>
      </c>
      <c r="B6" s="117" t="s">
        <v>276</v>
      </c>
      <c r="C6" s="117" t="s">
        <v>277</v>
      </c>
      <c r="D6" s="118" t="s">
        <v>5</v>
      </c>
      <c r="E6" s="117" t="s">
        <v>278</v>
      </c>
      <c r="F6" s="117" t="s">
        <v>6</v>
      </c>
      <c r="G6" s="118" t="s">
        <v>7</v>
      </c>
      <c r="H6" s="119" t="s">
        <v>279</v>
      </c>
      <c r="I6" s="120" t="s">
        <v>7</v>
      </c>
      <c r="J6" s="121">
        <v>0.15</v>
      </c>
      <c r="K6" s="122" t="s">
        <v>273</v>
      </c>
      <c r="L6" s="123" t="s">
        <v>280</v>
      </c>
      <c r="M6" s="122" t="s">
        <v>273</v>
      </c>
    </row>
    <row r="7" spans="1:13" s="124" customFormat="1" ht="15.6">
      <c r="A7" s="125"/>
      <c r="B7" s="125"/>
      <c r="C7" s="126"/>
      <c r="D7" s="126"/>
      <c r="E7" s="126"/>
      <c r="F7" s="127"/>
      <c r="G7" s="128"/>
      <c r="H7" s="129"/>
      <c r="I7" s="130">
        <f>SUBTOTAL(109,I8:I100)</f>
        <v>2046357.8348461525</v>
      </c>
      <c r="J7" s="130">
        <f>SUBTOTAL(109,J8:J100)</f>
        <v>306953.67522692302</v>
      </c>
      <c r="K7" s="130">
        <f>SUBTOTAL(109,K8:K100)</f>
        <v>2353311.5100730779</v>
      </c>
      <c r="L7" s="130">
        <f>SUBTOTAL(109,L8:L100)</f>
        <v>233.5</v>
      </c>
      <c r="M7" s="130">
        <f>SUBTOTAL(109,M8:M100)</f>
        <v>3407674.7690923074</v>
      </c>
    </row>
    <row r="8" spans="1:13">
      <c r="A8" s="131">
        <f t="array" ref="A8">_xlfn.SEQUENCE(COUNTA(B8:B173))</f>
        <v>1</v>
      </c>
      <c r="B8" s="132" t="str">
        <f t="array" ref="B8:H80">_xlfn._xlws.FILTER(TAX!$B$7:$H$98,TAX!H7:H98,TAX!$F$7:$F$98)</f>
        <v>MYL000001</v>
      </c>
      <c r="C8" s="133" t="str">
        <v>MR PHICHAI EIAMWATTANASILP</v>
      </c>
      <c r="D8" s="133" t="str">
        <v>66617893562</v>
      </c>
      <c r="E8" s="133" t="str">
        <v>Director</v>
      </c>
      <c r="F8" s="134" t="str">
        <v>ຕ່າງປະເທດ</v>
      </c>
      <c r="G8" s="135">
        <v>26</v>
      </c>
      <c r="H8" s="136">
        <v>68067000</v>
      </c>
      <c r="I8" s="137">
        <f t="shared" ref="I8:I39" si="0">H8/G8/8</f>
        <v>327245.19230769231</v>
      </c>
      <c r="J8" s="138">
        <f t="shared" ref="J8:J39" si="1">I8*$J$6</f>
        <v>49086.778846153844</v>
      </c>
      <c r="K8" s="137">
        <f t="shared" ref="K8:K39" si="2">I8+J8</f>
        <v>376331.97115384613</v>
      </c>
      <c r="L8" s="139"/>
      <c r="M8" s="138">
        <f t="shared" ref="M8:M39" si="3">K8*L8</f>
        <v>0</v>
      </c>
    </row>
    <row r="9" spans="1:13">
      <c r="A9" s="131"/>
      <c r="B9" s="132" t="str">
        <v>MYL000005</v>
      </c>
      <c r="C9" s="133" t="str">
        <v>MR WEERASIT LEEGCHOUR</v>
      </c>
      <c r="D9" s="133">
        <v>2098388245</v>
      </c>
      <c r="E9" s="133" t="str">
        <v>Deputy director 04</v>
      </c>
      <c r="F9" s="134" t="str">
        <v>ຕ່າງປະເທດ</v>
      </c>
      <c r="G9" s="135">
        <v>26</v>
      </c>
      <c r="H9" s="136">
        <v>13613400</v>
      </c>
      <c r="I9" s="137">
        <f t="shared" si="0"/>
        <v>65449.038461538461</v>
      </c>
      <c r="J9" s="138">
        <f t="shared" si="1"/>
        <v>9817.3557692307695</v>
      </c>
      <c r="K9" s="137">
        <f t="shared" si="2"/>
        <v>75266.394230769234</v>
      </c>
      <c r="L9" s="139"/>
      <c r="M9" s="138">
        <f t="shared" si="3"/>
        <v>0</v>
      </c>
    </row>
    <row r="10" spans="1:13">
      <c r="A10" s="131"/>
      <c r="B10" s="132" t="str">
        <v>MYL000002</v>
      </c>
      <c r="C10" s="133" t="str">
        <v>MRS Boualavanh BANPHACHA</v>
      </c>
      <c r="D10" s="133">
        <v>2023333500</v>
      </c>
      <c r="E10" s="133" t="str">
        <v>Deputy director 01</v>
      </c>
      <c r="F10" s="134" t="str">
        <v>ພາຍໃນປະເທດ</v>
      </c>
      <c r="G10" s="135">
        <v>26</v>
      </c>
      <c r="H10" s="136">
        <v>68067000</v>
      </c>
      <c r="I10" s="137">
        <f t="shared" si="0"/>
        <v>327245.19230769231</v>
      </c>
      <c r="J10" s="138">
        <f t="shared" si="1"/>
        <v>49086.778846153844</v>
      </c>
      <c r="K10" s="137">
        <f t="shared" si="2"/>
        <v>376331.97115384613</v>
      </c>
      <c r="L10" s="139"/>
      <c r="M10" s="138">
        <f t="shared" si="3"/>
        <v>0</v>
      </c>
    </row>
    <row r="11" spans="1:13">
      <c r="A11" s="131"/>
      <c r="B11" s="131" t="str">
        <v>MYL000003</v>
      </c>
      <c r="C11" s="133" t="str">
        <v>MRS DATSANY BANPHAXA</v>
      </c>
      <c r="D11" s="133">
        <v>2023333800</v>
      </c>
      <c r="E11" s="133" t="str">
        <v>Deputy director 02</v>
      </c>
      <c r="F11" s="134" t="str">
        <v>ພາຍໃນປະເທດ</v>
      </c>
      <c r="G11" s="135">
        <v>26</v>
      </c>
      <c r="H11" s="136">
        <v>27226800</v>
      </c>
      <c r="I11" s="137">
        <f t="shared" si="0"/>
        <v>130898.07692307692</v>
      </c>
      <c r="J11" s="138">
        <f t="shared" si="1"/>
        <v>19634.711538461539</v>
      </c>
      <c r="K11" s="137">
        <f t="shared" si="2"/>
        <v>150532.78846153847</v>
      </c>
      <c r="L11" s="139"/>
      <c r="M11" s="138">
        <f t="shared" si="3"/>
        <v>0</v>
      </c>
    </row>
    <row r="12" spans="1:13">
      <c r="A12" s="131"/>
      <c r="B12" s="131" t="str">
        <v>MYL000004</v>
      </c>
      <c r="C12" s="133" t="str">
        <v>MISS BOUAVONE VANGVONGXAI</v>
      </c>
      <c r="D12" s="133">
        <v>2076198111</v>
      </c>
      <c r="E12" s="133" t="str">
        <v>Deputy director 03</v>
      </c>
      <c r="F12" s="134" t="str">
        <v>ພາຍໃນປະເທດ</v>
      </c>
      <c r="G12" s="135">
        <v>26</v>
      </c>
      <c r="H12" s="136">
        <v>13000000</v>
      </c>
      <c r="I12" s="137">
        <f t="shared" si="0"/>
        <v>62500</v>
      </c>
      <c r="J12" s="138">
        <f t="shared" si="1"/>
        <v>9375</v>
      </c>
      <c r="K12" s="137">
        <f t="shared" si="2"/>
        <v>71875</v>
      </c>
      <c r="L12" s="139"/>
      <c r="M12" s="138">
        <f t="shared" si="3"/>
        <v>0</v>
      </c>
    </row>
    <row r="13" spans="1:13">
      <c r="A13" s="131"/>
      <c r="B13" s="131" t="str">
        <v>MYL202210001</v>
      </c>
      <c r="C13" s="133" t="str">
        <v>MR ANOUSACK THAMMAVONG</v>
      </c>
      <c r="D13" s="133">
        <v>2077772708</v>
      </c>
      <c r="E13" s="133" t="str">
        <v>Accounting</v>
      </c>
      <c r="F13" s="134" t="str">
        <v>ພາຍໃນປະເທດ</v>
      </c>
      <c r="G13" s="135">
        <v>26</v>
      </c>
      <c r="H13" s="136">
        <v>10000000</v>
      </c>
      <c r="I13" s="137">
        <f t="shared" si="0"/>
        <v>48076.923076923078</v>
      </c>
      <c r="J13" s="138">
        <f t="shared" si="1"/>
        <v>7211.5384615384619</v>
      </c>
      <c r="K13" s="137">
        <f t="shared" si="2"/>
        <v>55288.461538461539</v>
      </c>
      <c r="L13" s="139"/>
      <c r="M13" s="138">
        <f t="shared" si="3"/>
        <v>0</v>
      </c>
    </row>
    <row r="14" spans="1:13">
      <c r="A14" s="131"/>
      <c r="B14" s="131" t="str">
        <v>MYL202001001</v>
      </c>
      <c r="C14" s="133" t="str">
        <v>MR SONESAVANH PHENGPHINIT</v>
      </c>
      <c r="D14" s="133" t="str">
        <v>02092539860</v>
      </c>
      <c r="E14" s="133" t="str">
        <v>Accounting</v>
      </c>
      <c r="F14" s="134" t="str">
        <v>ພາຍໃນປະເທດ</v>
      </c>
      <c r="G14" s="135">
        <v>26</v>
      </c>
      <c r="H14" s="136">
        <v>6832000</v>
      </c>
      <c r="I14" s="137">
        <f t="shared" si="0"/>
        <v>32846.153846153844</v>
      </c>
      <c r="J14" s="138">
        <f t="shared" si="1"/>
        <v>4926.9230769230762</v>
      </c>
      <c r="K14" s="137">
        <f t="shared" si="2"/>
        <v>37773.076923076922</v>
      </c>
      <c r="L14" s="139"/>
      <c r="M14" s="138">
        <f t="shared" si="3"/>
        <v>0</v>
      </c>
    </row>
    <row r="15" spans="1:13">
      <c r="A15" s="131"/>
      <c r="B15" s="131" t="str">
        <v>MYL202408005</v>
      </c>
      <c r="C15" s="133" t="str">
        <v>MISS CHANSAMONE PHANTHALAVONG</v>
      </c>
      <c r="D15" s="133">
        <v>2099701293</v>
      </c>
      <c r="E15" s="133" t="str">
        <v>Planning</v>
      </c>
      <c r="F15" s="134" t="str">
        <v>ພາຍໃນປະເທດ</v>
      </c>
      <c r="G15" s="135">
        <v>26</v>
      </c>
      <c r="H15" s="136">
        <v>6000000</v>
      </c>
      <c r="I15" s="137">
        <f t="shared" si="0"/>
        <v>28846.153846153848</v>
      </c>
      <c r="J15" s="138">
        <f t="shared" si="1"/>
        <v>4326.9230769230771</v>
      </c>
      <c r="K15" s="137">
        <f t="shared" si="2"/>
        <v>33173.076923076922</v>
      </c>
      <c r="L15" s="139"/>
      <c r="M15" s="138">
        <f t="shared" si="3"/>
        <v>0</v>
      </c>
    </row>
    <row r="16" spans="1:13">
      <c r="A16" s="131"/>
      <c r="B16" s="131" t="str">
        <v>MYT202602136</v>
      </c>
      <c r="C16" s="133" t="str">
        <v>MRS BOUANGUEN SOMCHANMAVONG</v>
      </c>
      <c r="D16" s="133">
        <v>2056516668</v>
      </c>
      <c r="E16" s="133" t="str">
        <v>Planning</v>
      </c>
      <c r="F16" s="134" t="str">
        <v>ພາຍໃນປະເທດ</v>
      </c>
      <c r="G16" s="135">
        <v>26</v>
      </c>
      <c r="H16" s="136">
        <v>4500000</v>
      </c>
      <c r="I16" s="137">
        <f t="shared" si="0"/>
        <v>21634.615384615383</v>
      </c>
      <c r="J16" s="138">
        <f t="shared" si="1"/>
        <v>3245.1923076923072</v>
      </c>
      <c r="K16" s="137">
        <f t="shared" si="2"/>
        <v>24879.807692307691</v>
      </c>
      <c r="L16" s="139"/>
      <c r="M16" s="138">
        <f t="shared" si="3"/>
        <v>0</v>
      </c>
    </row>
    <row r="17" spans="1:13">
      <c r="A17" s="131"/>
      <c r="B17" s="131" t="str">
        <v>MYL202606153</v>
      </c>
      <c r="C17" s="133" t="str">
        <v>MR SEUAPA XAIYAVONG</v>
      </c>
      <c r="D17" s="133">
        <v>2078150776</v>
      </c>
      <c r="E17" s="133" t="str">
        <v>Planning</v>
      </c>
      <c r="F17" s="134" t="str">
        <v>ພາຍໃນປະເທດ</v>
      </c>
      <c r="G17" s="135">
        <v>26</v>
      </c>
      <c r="H17" s="136">
        <v>3500000</v>
      </c>
      <c r="I17" s="137">
        <f t="shared" si="0"/>
        <v>16826.923076923078</v>
      </c>
      <c r="J17" s="138">
        <f t="shared" si="1"/>
        <v>2524.0384615384614</v>
      </c>
      <c r="K17" s="137">
        <f t="shared" si="2"/>
        <v>19350.961538461539</v>
      </c>
      <c r="L17" s="139"/>
      <c r="M17" s="138">
        <f t="shared" si="3"/>
        <v>0</v>
      </c>
    </row>
    <row r="18" spans="1:13">
      <c r="A18" s="131"/>
      <c r="B18" s="131" t="str">
        <v>MYL202604144</v>
      </c>
      <c r="C18" s="133" t="str">
        <v>MISS PHOSEE KIANGLANOUSIN</v>
      </c>
      <c r="D18" s="133">
        <v>2076861520</v>
      </c>
      <c r="E18" s="133" t="str">
        <v>OFFICE</v>
      </c>
      <c r="F18" s="134" t="str">
        <v>ພາຍໃນປະເທດ</v>
      </c>
      <c r="G18" s="135">
        <v>26</v>
      </c>
      <c r="H18" s="136">
        <v>3500000</v>
      </c>
      <c r="I18" s="137">
        <f t="shared" si="0"/>
        <v>16826.923076923078</v>
      </c>
      <c r="J18" s="138">
        <f t="shared" si="1"/>
        <v>2524.0384615384614</v>
      </c>
      <c r="K18" s="137">
        <f t="shared" si="2"/>
        <v>19350.961538461539</v>
      </c>
      <c r="L18" s="139"/>
      <c r="M18" s="138">
        <f t="shared" si="3"/>
        <v>0</v>
      </c>
    </row>
    <row r="19" spans="1:13">
      <c r="A19" s="131"/>
      <c r="B19" s="131" t="str">
        <v>MYL201908010</v>
      </c>
      <c r="C19" s="133" t="str">
        <v>MR SAYSAMPHAN  MANEEBOTH</v>
      </c>
      <c r="D19" s="133">
        <v>2097545680</v>
      </c>
      <c r="E19" s="133" t="str">
        <v>Logistic Staff</v>
      </c>
      <c r="F19" s="134" t="str">
        <v>ພາຍໃນປະເທດ</v>
      </c>
      <c r="G19" s="135">
        <v>26</v>
      </c>
      <c r="H19" s="136">
        <v>5000000</v>
      </c>
      <c r="I19" s="137">
        <f t="shared" si="0"/>
        <v>24038.461538461539</v>
      </c>
      <c r="J19" s="138">
        <f t="shared" si="1"/>
        <v>3605.7692307692309</v>
      </c>
      <c r="K19" s="137">
        <f t="shared" si="2"/>
        <v>27644.23076923077</v>
      </c>
      <c r="L19" s="139"/>
      <c r="M19" s="138">
        <f t="shared" si="3"/>
        <v>0</v>
      </c>
    </row>
    <row r="20" spans="1:13">
      <c r="A20" s="131"/>
      <c r="B20" s="131" t="str">
        <v>MYL202001036</v>
      </c>
      <c r="C20" s="133" t="str">
        <v>MISS JINDA BANPHACHA</v>
      </c>
      <c r="D20" s="133">
        <v>2092416077</v>
      </c>
      <c r="E20" s="133" t="str">
        <v>Audit</v>
      </c>
      <c r="F20" s="134" t="str">
        <v>ພາຍໃນປະເທດ</v>
      </c>
      <c r="G20" s="135">
        <v>26</v>
      </c>
      <c r="H20" s="136">
        <v>10550385</v>
      </c>
      <c r="I20" s="137">
        <f t="shared" si="0"/>
        <v>50723.004807692305</v>
      </c>
      <c r="J20" s="138">
        <f t="shared" si="1"/>
        <v>7608.4507211538457</v>
      </c>
      <c r="K20" s="137">
        <f t="shared" si="2"/>
        <v>58331.455528846149</v>
      </c>
      <c r="L20" s="139"/>
      <c r="M20" s="138">
        <f t="shared" si="3"/>
        <v>0</v>
      </c>
    </row>
    <row r="21" spans="1:13">
      <c r="A21" s="131"/>
      <c r="B21" s="131" t="str">
        <v>MYL201908016</v>
      </c>
      <c r="C21" s="133" t="str">
        <v>MR AMMALIN</v>
      </c>
      <c r="D21" s="133">
        <v>2023332299</v>
      </c>
      <c r="E21" s="133" t="str">
        <v>Production manager 02</v>
      </c>
      <c r="F21" s="134" t="str">
        <v>ພາຍໃນປະເທດ</v>
      </c>
      <c r="G21" s="135">
        <v>26</v>
      </c>
      <c r="H21" s="136">
        <v>5000000</v>
      </c>
      <c r="I21" s="137">
        <f t="shared" si="0"/>
        <v>24038.461538461539</v>
      </c>
      <c r="J21" s="138">
        <f t="shared" si="1"/>
        <v>3605.7692307692309</v>
      </c>
      <c r="K21" s="137">
        <f t="shared" si="2"/>
        <v>27644.23076923077</v>
      </c>
      <c r="L21" s="139"/>
      <c r="M21" s="138">
        <f t="shared" si="3"/>
        <v>0</v>
      </c>
    </row>
    <row r="22" spans="1:13">
      <c r="A22" s="131"/>
      <c r="B22" s="131" t="str">
        <v>MYL202001049</v>
      </c>
      <c r="C22" s="133" t="str">
        <v>MR BOUNPON</v>
      </c>
      <c r="D22" s="133">
        <v>2078916853</v>
      </c>
      <c r="E22" s="133" t="str">
        <v>Production manager 02</v>
      </c>
      <c r="F22" s="134" t="str">
        <v>ພາຍໃນປະເທດ</v>
      </c>
      <c r="G22" s="135">
        <v>26</v>
      </c>
      <c r="H22" s="136">
        <v>4000000</v>
      </c>
      <c r="I22" s="137">
        <f t="shared" si="0"/>
        <v>19230.76923076923</v>
      </c>
      <c r="J22" s="138">
        <f t="shared" si="1"/>
        <v>2884.6153846153843</v>
      </c>
      <c r="K22" s="137">
        <f t="shared" si="2"/>
        <v>22115.384615384613</v>
      </c>
      <c r="L22" s="139"/>
      <c r="M22" s="138">
        <f t="shared" si="3"/>
        <v>0</v>
      </c>
    </row>
    <row r="23" spans="1:13">
      <c r="A23" s="131"/>
      <c r="B23" s="131" t="str">
        <v>MYL000009</v>
      </c>
      <c r="C23" s="133" t="str">
        <v>MR SONE</v>
      </c>
      <c r="D23" s="133">
        <v>0</v>
      </c>
      <c r="E23" s="133" t="str">
        <v>Security Staff</v>
      </c>
      <c r="F23" s="134" t="str">
        <v>ພາຍໃນປະເທດ</v>
      </c>
      <c r="G23" s="135">
        <v>26</v>
      </c>
      <c r="H23" s="136">
        <v>10550385</v>
      </c>
      <c r="I23" s="137">
        <f t="shared" si="0"/>
        <v>50723.004807692305</v>
      </c>
      <c r="J23" s="138">
        <f t="shared" si="1"/>
        <v>7608.4507211538457</v>
      </c>
      <c r="K23" s="137">
        <f t="shared" si="2"/>
        <v>58331.455528846149</v>
      </c>
      <c r="L23" s="139"/>
      <c r="M23" s="138">
        <f t="shared" si="3"/>
        <v>0</v>
      </c>
    </row>
    <row r="24" spans="1:13">
      <c r="A24" s="131"/>
      <c r="B24" s="131" t="str">
        <v>MYL202401027</v>
      </c>
      <c r="C24" s="133" t="str">
        <v>MRS NIK CHANTHANET</v>
      </c>
      <c r="D24" s="133">
        <v>2056339678</v>
      </c>
      <c r="E24" s="133" t="str">
        <v>Maid Staff</v>
      </c>
      <c r="F24" s="134" t="str">
        <v>ພາຍໃນປະເທດ</v>
      </c>
      <c r="G24" s="135">
        <v>26</v>
      </c>
      <c r="H24" s="136">
        <v>2702000</v>
      </c>
      <c r="I24" s="137">
        <f t="shared" si="0"/>
        <v>12990.384615384615</v>
      </c>
      <c r="J24" s="138">
        <f t="shared" si="1"/>
        <v>1948.5576923076922</v>
      </c>
      <c r="K24" s="137">
        <f t="shared" si="2"/>
        <v>14938.942307692307</v>
      </c>
      <c r="L24" s="139"/>
      <c r="M24" s="138">
        <f t="shared" si="3"/>
        <v>0</v>
      </c>
    </row>
    <row r="25" spans="1:13">
      <c r="A25" s="131"/>
      <c r="B25" s="131" t="str">
        <v>MYL201908028</v>
      </c>
      <c r="C25" s="133" t="str">
        <v>MR TERY KHAMKOUNA</v>
      </c>
      <c r="D25" s="133" t="str">
        <v>02059103026</v>
      </c>
      <c r="E25" s="133" t="str">
        <v>Engineering</v>
      </c>
      <c r="F25" s="134" t="str">
        <v>ພາຍໃນປະເທດ</v>
      </c>
      <c r="G25" s="135">
        <v>26</v>
      </c>
      <c r="H25" s="136">
        <v>5000000</v>
      </c>
      <c r="I25" s="137">
        <f t="shared" si="0"/>
        <v>24038.461538461539</v>
      </c>
      <c r="J25" s="138">
        <f t="shared" si="1"/>
        <v>3605.7692307692309</v>
      </c>
      <c r="K25" s="137">
        <f t="shared" si="2"/>
        <v>27644.23076923077</v>
      </c>
      <c r="L25" s="139"/>
      <c r="M25" s="138">
        <f t="shared" si="3"/>
        <v>0</v>
      </c>
    </row>
    <row r="26" spans="1:13">
      <c r="A26" s="131"/>
      <c r="B26" s="131" t="str">
        <v>MYL202507076</v>
      </c>
      <c r="C26" s="133" t="str">
        <v>MR XAYSONGKHAM SOMSANITH</v>
      </c>
      <c r="D26" s="133">
        <v>2056211706</v>
      </c>
      <c r="E26" s="133" t="str">
        <v>Engineering</v>
      </c>
      <c r="F26" s="134" t="str">
        <v>ພາຍໃນປະເທດ</v>
      </c>
      <c r="G26" s="135">
        <v>26</v>
      </c>
      <c r="H26" s="136">
        <v>4500000</v>
      </c>
      <c r="I26" s="137">
        <f t="shared" si="0"/>
        <v>21634.615384615383</v>
      </c>
      <c r="J26" s="138">
        <f t="shared" si="1"/>
        <v>3245.1923076923072</v>
      </c>
      <c r="K26" s="137">
        <f t="shared" si="2"/>
        <v>24879.807692307691</v>
      </c>
      <c r="L26" s="139"/>
      <c r="M26" s="138">
        <f t="shared" si="3"/>
        <v>0</v>
      </c>
    </row>
    <row r="27" spans="1:13">
      <c r="A27" s="131"/>
      <c r="B27" s="131" t="str">
        <v>MYL201908026</v>
      </c>
      <c r="C27" s="133" t="str">
        <v>MR SONGKAN PHACHANSITTHI</v>
      </c>
      <c r="D27" s="133">
        <v>2054612045</v>
      </c>
      <c r="E27" s="133" t="str">
        <v>QC Manager 02</v>
      </c>
      <c r="F27" s="134" t="str">
        <v>ພາຍໃນປະເທດ</v>
      </c>
      <c r="G27" s="135">
        <v>26</v>
      </c>
      <c r="H27" s="136">
        <v>4000000</v>
      </c>
      <c r="I27" s="137">
        <f t="shared" si="0"/>
        <v>19230.76923076923</v>
      </c>
      <c r="J27" s="138">
        <f t="shared" si="1"/>
        <v>2884.6153846153843</v>
      </c>
      <c r="K27" s="137">
        <f t="shared" si="2"/>
        <v>22115.384615384613</v>
      </c>
      <c r="L27" s="139"/>
      <c r="M27" s="138">
        <f t="shared" si="3"/>
        <v>0</v>
      </c>
    </row>
    <row r="28" spans="1:13">
      <c r="A28" s="131"/>
      <c r="B28" s="131" t="str">
        <v>MYL202504064</v>
      </c>
      <c r="C28" s="133" t="str">
        <v>MISS NALIN SYHALATH</v>
      </c>
      <c r="D28" s="133">
        <v>2098953256</v>
      </c>
      <c r="E28" s="133" t="str">
        <v>QC PTS</v>
      </c>
      <c r="F28" s="134" t="str">
        <v>ພາຍໃນປະເທດ</v>
      </c>
      <c r="G28" s="135">
        <v>26</v>
      </c>
      <c r="H28" s="136">
        <v>2600000</v>
      </c>
      <c r="I28" s="137">
        <f t="shared" si="0"/>
        <v>12500</v>
      </c>
      <c r="J28" s="138">
        <f t="shared" si="1"/>
        <v>1875</v>
      </c>
      <c r="K28" s="137">
        <f t="shared" si="2"/>
        <v>14375</v>
      </c>
      <c r="L28" s="139"/>
      <c r="M28" s="138">
        <f t="shared" si="3"/>
        <v>0</v>
      </c>
    </row>
    <row r="29" spans="1:13">
      <c r="A29" s="131"/>
      <c r="B29" s="131" t="str">
        <v>MYL202606160</v>
      </c>
      <c r="C29" s="133" t="str">
        <v>MISS LAMPHAI THUMMAVONGE</v>
      </c>
      <c r="D29" s="133">
        <v>2091381527</v>
      </c>
      <c r="E29" s="133" t="str">
        <v>QC SAS</v>
      </c>
      <c r="F29" s="134" t="str">
        <v>ພາຍໃນປະເທດ</v>
      </c>
      <c r="G29" s="135">
        <v>26</v>
      </c>
      <c r="H29" s="136">
        <v>2500000</v>
      </c>
      <c r="I29" s="137">
        <f t="shared" si="0"/>
        <v>12019.23076923077</v>
      </c>
      <c r="J29" s="138">
        <f t="shared" si="1"/>
        <v>1802.8846153846155</v>
      </c>
      <c r="K29" s="137">
        <f t="shared" si="2"/>
        <v>13822.115384615385</v>
      </c>
      <c r="L29" s="139"/>
      <c r="M29" s="138">
        <f t="shared" si="3"/>
        <v>0</v>
      </c>
    </row>
    <row r="30" spans="1:13">
      <c r="A30" s="131"/>
      <c r="B30" s="131" t="str">
        <v>MYL202301037</v>
      </c>
      <c r="C30" s="133" t="str">
        <v>MRS PHOULATSAMY SETTHATHILATH</v>
      </c>
      <c r="D30" s="133">
        <v>2077074510</v>
      </c>
      <c r="E30" s="133" t="str">
        <v>STORE PTS</v>
      </c>
      <c r="F30" s="134" t="str">
        <v>ພາຍໃນປະເທດ</v>
      </c>
      <c r="G30" s="135">
        <v>26</v>
      </c>
      <c r="H30" s="136">
        <v>3300000</v>
      </c>
      <c r="I30" s="137">
        <f t="shared" si="0"/>
        <v>15865.384615384615</v>
      </c>
      <c r="J30" s="138">
        <f t="shared" si="1"/>
        <v>2379.8076923076924</v>
      </c>
      <c r="K30" s="137">
        <f t="shared" si="2"/>
        <v>18245.192307692309</v>
      </c>
      <c r="L30" s="139"/>
      <c r="M30" s="138">
        <f t="shared" si="3"/>
        <v>0</v>
      </c>
    </row>
    <row r="31" spans="1:13">
      <c r="A31" s="131"/>
      <c r="B31" s="131" t="str">
        <v>MYT202602133</v>
      </c>
      <c r="C31" s="133" t="str">
        <v>MR BOUNTHAVY KOMKAIYASONE</v>
      </c>
      <c r="D31" s="133">
        <v>2097221714</v>
      </c>
      <c r="E31" s="133" t="str">
        <v>STORE PTS</v>
      </c>
      <c r="F31" s="134" t="str">
        <v>ພາຍໃນປະເທດ</v>
      </c>
      <c r="G31" s="135">
        <v>26</v>
      </c>
      <c r="H31" s="136">
        <v>2600000</v>
      </c>
      <c r="I31" s="137">
        <f t="shared" si="0"/>
        <v>12500</v>
      </c>
      <c r="J31" s="138">
        <f t="shared" si="1"/>
        <v>1875</v>
      </c>
      <c r="K31" s="137">
        <f t="shared" si="2"/>
        <v>14375</v>
      </c>
      <c r="L31" s="139"/>
      <c r="M31" s="138">
        <f t="shared" si="3"/>
        <v>0</v>
      </c>
    </row>
    <row r="32" spans="1:13">
      <c r="A32" s="131"/>
      <c r="B32" s="131" t="str">
        <v>MYL202404006</v>
      </c>
      <c r="C32" s="133" t="str">
        <v>MR SENGMANY PHATTHANA</v>
      </c>
      <c r="D32" s="133">
        <v>2059597282</v>
      </c>
      <c r="E32" s="133" t="str">
        <v>STORE OTS</v>
      </c>
      <c r="F32" s="134" t="str">
        <v>ພາຍໃນປະເທດ</v>
      </c>
      <c r="G32" s="135">
        <v>26</v>
      </c>
      <c r="H32" s="136">
        <v>3300000</v>
      </c>
      <c r="I32" s="137">
        <f t="shared" si="0"/>
        <v>15865.384615384615</v>
      </c>
      <c r="J32" s="138">
        <f t="shared" si="1"/>
        <v>2379.8076923076924</v>
      </c>
      <c r="K32" s="137">
        <f t="shared" si="2"/>
        <v>18245.192307692309</v>
      </c>
      <c r="L32" s="139">
        <v>2</v>
      </c>
      <c r="M32" s="138">
        <f t="shared" si="3"/>
        <v>36490.384615384617</v>
      </c>
    </row>
    <row r="33" spans="1:13">
      <c r="A33" s="131"/>
      <c r="B33" s="131" t="str">
        <v>MYL202601128</v>
      </c>
      <c r="C33" s="133" t="str">
        <v>MR KHAMPHASITH XAYYAJACK</v>
      </c>
      <c r="D33" s="133">
        <v>2077412771</v>
      </c>
      <c r="E33" s="133" t="str">
        <v>STORE OTS</v>
      </c>
      <c r="F33" s="134" t="str">
        <v>ພາຍໃນປະເທດ</v>
      </c>
      <c r="G33" s="135">
        <v>26</v>
      </c>
      <c r="H33" s="136">
        <v>2600000</v>
      </c>
      <c r="I33" s="137">
        <f t="shared" si="0"/>
        <v>12500</v>
      </c>
      <c r="J33" s="138">
        <f t="shared" si="1"/>
        <v>1875</v>
      </c>
      <c r="K33" s="137">
        <f t="shared" si="2"/>
        <v>14375</v>
      </c>
      <c r="L33" s="139"/>
      <c r="M33" s="138">
        <f t="shared" si="3"/>
        <v>0</v>
      </c>
    </row>
    <row r="34" spans="1:13">
      <c r="A34" s="131"/>
      <c r="B34" s="131" t="str">
        <v>MYL202606162</v>
      </c>
      <c r="C34" s="133" t="str">
        <v>MISS KHONESAVANH CHANTHALAY</v>
      </c>
      <c r="D34" s="133">
        <v>2096532048</v>
      </c>
      <c r="E34" s="133" t="str">
        <v>STORE OTS</v>
      </c>
      <c r="F34" s="134" t="str">
        <v>ພາຍໃນປະເທດ</v>
      </c>
      <c r="G34" s="135">
        <v>26</v>
      </c>
      <c r="H34" s="136">
        <v>2500000</v>
      </c>
      <c r="I34" s="137">
        <f t="shared" si="0"/>
        <v>12019.23076923077</v>
      </c>
      <c r="J34" s="138">
        <f t="shared" si="1"/>
        <v>1802.8846153846155</v>
      </c>
      <c r="K34" s="137">
        <f t="shared" si="2"/>
        <v>13822.115384615385</v>
      </c>
      <c r="L34" s="139"/>
      <c r="M34" s="138">
        <f t="shared" si="3"/>
        <v>0</v>
      </c>
    </row>
    <row r="35" spans="1:13">
      <c r="A35" s="131"/>
      <c r="B35" s="131" t="str">
        <v>MYL202001035</v>
      </c>
      <c r="C35" s="133" t="str">
        <v>MRS TOUKTA  PONGSIMMALY</v>
      </c>
      <c r="D35" s="133">
        <v>2057706864</v>
      </c>
      <c r="E35" s="133" t="str">
        <v>STORE SAS</v>
      </c>
      <c r="F35" s="134" t="str">
        <v>ພາຍໃນປະເທດ</v>
      </c>
      <c r="G35" s="135">
        <v>26</v>
      </c>
      <c r="H35" s="136">
        <v>3300000</v>
      </c>
      <c r="I35" s="137">
        <f t="shared" si="0"/>
        <v>15865.384615384615</v>
      </c>
      <c r="J35" s="138">
        <f t="shared" si="1"/>
        <v>2379.8076923076924</v>
      </c>
      <c r="K35" s="137">
        <f t="shared" si="2"/>
        <v>18245.192307692309</v>
      </c>
      <c r="L35" s="139"/>
      <c r="M35" s="138">
        <f t="shared" si="3"/>
        <v>0</v>
      </c>
    </row>
    <row r="36" spans="1:13" s="140" customFormat="1">
      <c r="A36" s="131"/>
      <c r="B36" s="131" t="str">
        <v>MYL202605151</v>
      </c>
      <c r="C36" s="133" t="str">
        <v>MR SOULIYA</v>
      </c>
      <c r="D36" s="133">
        <v>2099427578</v>
      </c>
      <c r="E36" s="133" t="str">
        <v>STORE SAS</v>
      </c>
      <c r="F36" s="134" t="str">
        <v>ພາຍໃນປະເທດ</v>
      </c>
      <c r="G36" s="135">
        <v>26</v>
      </c>
      <c r="H36" s="136">
        <v>2600000</v>
      </c>
      <c r="I36" s="137">
        <f t="shared" si="0"/>
        <v>12500</v>
      </c>
      <c r="J36" s="138">
        <f t="shared" si="1"/>
        <v>1875</v>
      </c>
      <c r="K36" s="137">
        <f t="shared" si="2"/>
        <v>14375</v>
      </c>
      <c r="L36" s="139"/>
      <c r="M36" s="138">
        <f t="shared" si="3"/>
        <v>0</v>
      </c>
    </row>
    <row r="37" spans="1:13" s="140" customFormat="1">
      <c r="A37" s="131"/>
      <c r="B37" s="131" t="str">
        <v>MYL202201050</v>
      </c>
      <c r="C37" s="133" t="str">
        <v>MR TOUTONNAM KHOUNSAVANH</v>
      </c>
      <c r="D37" s="133">
        <v>2093949318</v>
      </c>
      <c r="E37" s="133" t="str">
        <v>Welding  PTS</v>
      </c>
      <c r="F37" s="134" t="str">
        <v>ພາຍໃນປະເທດ</v>
      </c>
      <c r="G37" s="135">
        <v>26</v>
      </c>
      <c r="H37" s="136">
        <v>3300000</v>
      </c>
      <c r="I37" s="137">
        <f t="shared" si="0"/>
        <v>15865.384615384615</v>
      </c>
      <c r="J37" s="138">
        <f t="shared" si="1"/>
        <v>2379.8076923076924</v>
      </c>
      <c r="K37" s="137">
        <f t="shared" si="2"/>
        <v>18245.192307692309</v>
      </c>
      <c r="L37" s="139"/>
      <c r="M37" s="138">
        <f t="shared" si="3"/>
        <v>0</v>
      </c>
    </row>
    <row r="38" spans="1:13">
      <c r="A38" s="131"/>
      <c r="B38" s="131" t="str">
        <v>MYL202502061</v>
      </c>
      <c r="C38" s="133" t="str">
        <v>MR KHONESAVANH SYTHAVONG</v>
      </c>
      <c r="D38" s="133">
        <v>2096870409</v>
      </c>
      <c r="E38" s="133" t="str">
        <v>Welding  PTS</v>
      </c>
      <c r="F38" s="134" t="str">
        <v>ພາຍໃນປະເທດ</v>
      </c>
      <c r="G38" s="135">
        <v>26</v>
      </c>
      <c r="H38" s="136">
        <v>2600000</v>
      </c>
      <c r="I38" s="137">
        <f t="shared" si="0"/>
        <v>12500</v>
      </c>
      <c r="J38" s="138">
        <f t="shared" si="1"/>
        <v>1875</v>
      </c>
      <c r="K38" s="137">
        <f t="shared" si="2"/>
        <v>14375</v>
      </c>
      <c r="L38" s="139"/>
      <c r="M38" s="138">
        <f t="shared" si="3"/>
        <v>0</v>
      </c>
    </row>
    <row r="39" spans="1:13">
      <c r="A39" s="131"/>
      <c r="B39" s="131" t="str">
        <v>MYL202504072</v>
      </c>
      <c r="C39" s="133" t="str">
        <v>MR BACKHAM XAISONGKHAM</v>
      </c>
      <c r="D39" s="133">
        <v>2093768539</v>
      </c>
      <c r="E39" s="133" t="str">
        <v>Welding  PTS</v>
      </c>
      <c r="F39" s="134" t="str">
        <v>ພາຍໃນປະເທດ</v>
      </c>
      <c r="G39" s="135">
        <v>26</v>
      </c>
      <c r="H39" s="136">
        <v>2600000</v>
      </c>
      <c r="I39" s="137">
        <f t="shared" si="0"/>
        <v>12500</v>
      </c>
      <c r="J39" s="138">
        <f t="shared" si="1"/>
        <v>1875</v>
      </c>
      <c r="K39" s="137">
        <f t="shared" si="2"/>
        <v>14375</v>
      </c>
      <c r="L39" s="139"/>
      <c r="M39" s="138">
        <f t="shared" si="3"/>
        <v>0</v>
      </c>
    </row>
    <row r="40" spans="1:13">
      <c r="A40" s="131"/>
      <c r="B40" s="131" t="str">
        <v>MYL202509108</v>
      </c>
      <c r="C40" s="133" t="str">
        <v>MR SEEVA  PONGSIMMALY</v>
      </c>
      <c r="D40" s="133">
        <v>2056238018</v>
      </c>
      <c r="E40" s="133" t="str">
        <v>Welding  PTS</v>
      </c>
      <c r="F40" s="134" t="str">
        <v>ພາຍໃນປະເທດ</v>
      </c>
      <c r="G40" s="135">
        <v>26</v>
      </c>
      <c r="H40" s="136">
        <v>2600000</v>
      </c>
      <c r="I40" s="137">
        <f t="shared" ref="I40:I71" si="4">H40/G40/8</f>
        <v>12500</v>
      </c>
      <c r="J40" s="138">
        <f t="shared" ref="J40:J71" si="5">I40*$J$6</f>
        <v>1875</v>
      </c>
      <c r="K40" s="137">
        <f t="shared" ref="K40:K71" si="6">I40+J40</f>
        <v>14375</v>
      </c>
      <c r="L40" s="139"/>
      <c r="M40" s="138">
        <f t="shared" ref="M40:M71" si="7">K40*L40</f>
        <v>0</v>
      </c>
    </row>
    <row r="41" spans="1:13">
      <c r="A41" s="131"/>
      <c r="B41" s="131" t="str">
        <v>MYL202509109</v>
      </c>
      <c r="C41" s="133" t="str">
        <v>MR YOD CHAMPA</v>
      </c>
      <c r="D41" s="133">
        <v>2091295633</v>
      </c>
      <c r="E41" s="133" t="str">
        <v>Welding  PTS</v>
      </c>
      <c r="F41" s="134" t="str">
        <v>ພາຍໃນປະເທດ</v>
      </c>
      <c r="G41" s="135">
        <v>26</v>
      </c>
      <c r="H41" s="136">
        <v>2600000</v>
      </c>
      <c r="I41" s="137">
        <f t="shared" si="4"/>
        <v>12500</v>
      </c>
      <c r="J41" s="138">
        <f t="shared" si="5"/>
        <v>1875</v>
      </c>
      <c r="K41" s="137">
        <f t="shared" si="6"/>
        <v>14375</v>
      </c>
      <c r="L41" s="139"/>
      <c r="M41" s="138">
        <f t="shared" si="7"/>
        <v>0</v>
      </c>
    </row>
    <row r="42" spans="1:13">
      <c r="A42" s="131"/>
      <c r="B42" s="131" t="str">
        <v>MYT202604143</v>
      </c>
      <c r="C42" s="133" t="str">
        <v>MR BOUNSAVATH PHETKHAMBOONHUEANG</v>
      </c>
      <c r="D42" s="133">
        <v>2099099712</v>
      </c>
      <c r="E42" s="133" t="str">
        <v>Welding  PTS</v>
      </c>
      <c r="F42" s="134" t="str">
        <v>ພາຍໃນປະເທດ</v>
      </c>
      <c r="G42" s="135">
        <v>26</v>
      </c>
      <c r="H42" s="136">
        <v>2500000</v>
      </c>
      <c r="I42" s="137">
        <f t="shared" si="4"/>
        <v>12019.23076923077</v>
      </c>
      <c r="J42" s="138">
        <f t="shared" si="5"/>
        <v>1802.8846153846155</v>
      </c>
      <c r="K42" s="137">
        <f t="shared" si="6"/>
        <v>13822.115384615385</v>
      </c>
      <c r="L42" s="139"/>
      <c r="M42" s="138">
        <f t="shared" si="7"/>
        <v>0</v>
      </c>
    </row>
    <row r="43" spans="1:13">
      <c r="A43" s="131"/>
      <c r="B43" s="131" t="str">
        <v>MYL202405041</v>
      </c>
      <c r="C43" s="133" t="str">
        <v>MR BOUNXUEN SISOMBOUN</v>
      </c>
      <c r="D43" s="133">
        <v>2057922285</v>
      </c>
      <c r="E43" s="133" t="str">
        <v>Welding OTS 1</v>
      </c>
      <c r="F43" s="134" t="str">
        <v>ພາຍໃນປະເທດ</v>
      </c>
      <c r="G43" s="135">
        <v>26</v>
      </c>
      <c r="H43" s="136">
        <v>2702000</v>
      </c>
      <c r="I43" s="137">
        <f t="shared" si="4"/>
        <v>12990.384615384615</v>
      </c>
      <c r="J43" s="138">
        <f t="shared" si="5"/>
        <v>1948.5576923076922</v>
      </c>
      <c r="K43" s="137">
        <f t="shared" si="6"/>
        <v>14938.942307692307</v>
      </c>
      <c r="L43" s="139">
        <v>10</v>
      </c>
      <c r="M43" s="138">
        <f t="shared" si="7"/>
        <v>149389.42307692306</v>
      </c>
    </row>
    <row r="44" spans="1:13">
      <c r="A44" s="131"/>
      <c r="B44" s="131" t="str">
        <v>MYL202503042</v>
      </c>
      <c r="C44" s="133" t="str">
        <v>MR PHOLIYA</v>
      </c>
      <c r="D44" s="133">
        <v>2091948440</v>
      </c>
      <c r="E44" s="133" t="str">
        <v>Welding OTS 1</v>
      </c>
      <c r="F44" s="134" t="str">
        <v>ພາຍໃນປະເທດ</v>
      </c>
      <c r="G44" s="135">
        <v>26</v>
      </c>
      <c r="H44" s="136">
        <v>2600000</v>
      </c>
      <c r="I44" s="137">
        <f t="shared" si="4"/>
        <v>12500</v>
      </c>
      <c r="J44" s="138">
        <f t="shared" si="5"/>
        <v>1875</v>
      </c>
      <c r="K44" s="137">
        <f t="shared" si="6"/>
        <v>14375</v>
      </c>
      <c r="L44" s="139">
        <v>8.5</v>
      </c>
      <c r="M44" s="138">
        <f t="shared" si="7"/>
        <v>122187.5</v>
      </c>
    </row>
    <row r="45" spans="1:13">
      <c r="A45" s="131"/>
      <c r="B45" s="131" t="str">
        <v>MYL202502048</v>
      </c>
      <c r="C45" s="133" t="str">
        <v>MR XAYSANA CHANTHAVILAY</v>
      </c>
      <c r="D45" s="133">
        <v>2097690329</v>
      </c>
      <c r="E45" s="133" t="str">
        <v>Welding OTS 1</v>
      </c>
      <c r="F45" s="134" t="str">
        <v>ພາຍໃນປະເທດ</v>
      </c>
      <c r="G45" s="135">
        <v>26</v>
      </c>
      <c r="H45" s="136">
        <v>2600000</v>
      </c>
      <c r="I45" s="137">
        <f t="shared" si="4"/>
        <v>12500</v>
      </c>
      <c r="J45" s="138">
        <f t="shared" si="5"/>
        <v>1875</v>
      </c>
      <c r="K45" s="137">
        <f t="shared" si="6"/>
        <v>14375</v>
      </c>
      <c r="L45" s="139">
        <v>8</v>
      </c>
      <c r="M45" s="138">
        <f t="shared" si="7"/>
        <v>115000</v>
      </c>
    </row>
    <row r="46" spans="1:13">
      <c r="A46" s="131"/>
      <c r="B46" s="131" t="str">
        <v>MYL202601088</v>
      </c>
      <c r="C46" s="133" t="str">
        <v>MR SAYYAPHONE CHAMPA</v>
      </c>
      <c r="D46" s="133">
        <v>2076162127</v>
      </c>
      <c r="E46" s="133" t="str">
        <v>Welding OTS 1</v>
      </c>
      <c r="F46" s="134" t="str">
        <v>ພາຍໃນປະເທດ</v>
      </c>
      <c r="G46" s="135">
        <v>26</v>
      </c>
      <c r="H46" s="136">
        <v>2600000</v>
      </c>
      <c r="I46" s="137">
        <f t="shared" si="4"/>
        <v>12500</v>
      </c>
      <c r="J46" s="138">
        <f t="shared" si="5"/>
        <v>1875</v>
      </c>
      <c r="K46" s="137">
        <f t="shared" si="6"/>
        <v>14375</v>
      </c>
      <c r="L46" s="139">
        <v>9</v>
      </c>
      <c r="M46" s="138">
        <f t="shared" si="7"/>
        <v>129375</v>
      </c>
    </row>
    <row r="47" spans="1:13">
      <c r="A47" s="131"/>
      <c r="B47" s="131" t="str">
        <v>MYL202505089</v>
      </c>
      <c r="C47" s="133" t="str">
        <v>MR VONGDEUAN PHIMMASOME</v>
      </c>
      <c r="D47" s="133">
        <v>2059784851</v>
      </c>
      <c r="E47" s="133" t="str">
        <v>Welding OTS 1</v>
      </c>
      <c r="F47" s="134" t="str">
        <v>ພາຍໃນປະເທດ</v>
      </c>
      <c r="G47" s="135">
        <v>26</v>
      </c>
      <c r="H47" s="136">
        <v>2600000</v>
      </c>
      <c r="I47" s="137">
        <f t="shared" si="4"/>
        <v>12500</v>
      </c>
      <c r="J47" s="138">
        <f t="shared" si="5"/>
        <v>1875</v>
      </c>
      <c r="K47" s="137">
        <f t="shared" si="6"/>
        <v>14375</v>
      </c>
      <c r="L47" s="139">
        <v>10</v>
      </c>
      <c r="M47" s="138">
        <f t="shared" si="7"/>
        <v>143750</v>
      </c>
    </row>
    <row r="48" spans="1:13">
      <c r="A48" s="131"/>
      <c r="B48" s="131" t="str">
        <v>MYL202507103</v>
      </c>
      <c r="C48" s="133" t="str">
        <v>MR NOUZING SEELANAM</v>
      </c>
      <c r="D48" s="133">
        <v>2093462059</v>
      </c>
      <c r="E48" s="133" t="str">
        <v>Welding OTS 1</v>
      </c>
      <c r="F48" s="134" t="str">
        <v>ພາຍໃນປະເທດ</v>
      </c>
      <c r="G48" s="135">
        <v>26</v>
      </c>
      <c r="H48" s="136">
        <v>2600000</v>
      </c>
      <c r="I48" s="137">
        <f t="shared" si="4"/>
        <v>12500</v>
      </c>
      <c r="J48" s="138">
        <f t="shared" si="5"/>
        <v>1875</v>
      </c>
      <c r="K48" s="137">
        <f t="shared" si="6"/>
        <v>14375</v>
      </c>
      <c r="L48" s="139">
        <v>6</v>
      </c>
      <c r="M48" s="138">
        <f t="shared" si="7"/>
        <v>86250</v>
      </c>
    </row>
    <row r="49" spans="1:13">
      <c r="A49" s="131"/>
      <c r="B49" s="131" t="str">
        <v>MYL202606157</v>
      </c>
      <c r="C49" s="133" t="str">
        <v>MR PHOUTHONE CHANTHAVONGSA</v>
      </c>
      <c r="D49" s="133">
        <v>2095105674</v>
      </c>
      <c r="E49" s="133" t="str">
        <v>Welding OTS 1</v>
      </c>
      <c r="F49" s="134" t="str">
        <v>ພາຍໃນປະເທດ</v>
      </c>
      <c r="G49" s="135">
        <v>26</v>
      </c>
      <c r="H49" s="136">
        <v>2500000</v>
      </c>
      <c r="I49" s="137">
        <f t="shared" si="4"/>
        <v>12019.23076923077</v>
      </c>
      <c r="J49" s="138">
        <f t="shared" si="5"/>
        <v>1802.8846153846155</v>
      </c>
      <c r="K49" s="137">
        <f t="shared" si="6"/>
        <v>13822.115384615385</v>
      </c>
      <c r="L49" s="139">
        <v>10</v>
      </c>
      <c r="M49" s="138">
        <f t="shared" si="7"/>
        <v>138221.15384615384</v>
      </c>
    </row>
    <row r="50" spans="1:13">
      <c r="A50" s="131"/>
      <c r="B50" s="131" t="str">
        <v>MYL201908038</v>
      </c>
      <c r="C50" s="133" t="str">
        <v>MR PHONEPHANA  SINGSUAYKEO</v>
      </c>
      <c r="D50" s="133">
        <v>2077111088</v>
      </c>
      <c r="E50" s="133" t="str">
        <v>Welding OTS 2</v>
      </c>
      <c r="F50" s="134" t="str">
        <v>ພາຍໃນປະເທດ</v>
      </c>
      <c r="G50" s="135">
        <v>26</v>
      </c>
      <c r="H50" s="136">
        <v>4000000</v>
      </c>
      <c r="I50" s="137">
        <f t="shared" si="4"/>
        <v>19230.76923076923</v>
      </c>
      <c r="J50" s="138">
        <f t="shared" si="5"/>
        <v>2884.6153846153843</v>
      </c>
      <c r="K50" s="137">
        <f t="shared" si="6"/>
        <v>22115.384615384613</v>
      </c>
      <c r="L50" s="139"/>
      <c r="M50" s="138">
        <f t="shared" si="7"/>
        <v>0</v>
      </c>
    </row>
    <row r="51" spans="1:13">
      <c r="A51" s="131"/>
      <c r="B51" s="131" t="str">
        <v>MYL202502043</v>
      </c>
      <c r="C51" s="133" t="str">
        <v>MR JONENY CHAMPA</v>
      </c>
      <c r="D51" s="133">
        <v>2058802628</v>
      </c>
      <c r="E51" s="133" t="str">
        <v>Welding OTS 2</v>
      </c>
      <c r="F51" s="134" t="str">
        <v>ພາຍໃນປະເທດ</v>
      </c>
      <c r="G51" s="135">
        <v>26</v>
      </c>
      <c r="H51" s="136">
        <v>2600000</v>
      </c>
      <c r="I51" s="137">
        <f t="shared" si="4"/>
        <v>12500</v>
      </c>
      <c r="J51" s="138">
        <f t="shared" si="5"/>
        <v>1875</v>
      </c>
      <c r="K51" s="137">
        <f t="shared" si="6"/>
        <v>14375</v>
      </c>
      <c r="L51" s="139">
        <v>12</v>
      </c>
      <c r="M51" s="138">
        <f t="shared" si="7"/>
        <v>172500</v>
      </c>
    </row>
    <row r="52" spans="1:13">
      <c r="A52" s="131"/>
      <c r="B52" s="131" t="str">
        <v>MYL202504055</v>
      </c>
      <c r="C52" s="133" t="str">
        <v>MR BOUNMA SOUTHALIN</v>
      </c>
      <c r="D52" s="133">
        <v>2099388176</v>
      </c>
      <c r="E52" s="133" t="str">
        <v>Welding OTS 2</v>
      </c>
      <c r="F52" s="134" t="str">
        <v>ພາຍໃນປະເທດ</v>
      </c>
      <c r="G52" s="135">
        <v>26</v>
      </c>
      <c r="H52" s="136">
        <v>2600000</v>
      </c>
      <c r="I52" s="137">
        <f t="shared" si="4"/>
        <v>12500</v>
      </c>
      <c r="J52" s="138">
        <f t="shared" si="5"/>
        <v>1875</v>
      </c>
      <c r="K52" s="137">
        <f t="shared" si="6"/>
        <v>14375</v>
      </c>
      <c r="L52" s="139">
        <v>12</v>
      </c>
      <c r="M52" s="138">
        <f t="shared" si="7"/>
        <v>172500</v>
      </c>
    </row>
    <row r="53" spans="1:13">
      <c r="A53" s="131"/>
      <c r="B53" s="131" t="str">
        <v>MYL202507097</v>
      </c>
      <c r="C53" s="133" t="str">
        <v>MR CHAT SAENGARLUON</v>
      </c>
      <c r="D53" s="133">
        <v>2093107685</v>
      </c>
      <c r="E53" s="133" t="str">
        <v>Welding OTS 2</v>
      </c>
      <c r="F53" s="134" t="str">
        <v>ພາຍໃນປະເທດ</v>
      </c>
      <c r="G53" s="135">
        <v>26</v>
      </c>
      <c r="H53" s="136">
        <v>2600000</v>
      </c>
      <c r="I53" s="137">
        <f t="shared" si="4"/>
        <v>12500</v>
      </c>
      <c r="J53" s="138">
        <f t="shared" si="5"/>
        <v>1875</v>
      </c>
      <c r="K53" s="137">
        <f t="shared" si="6"/>
        <v>14375</v>
      </c>
      <c r="L53" s="139">
        <v>12</v>
      </c>
      <c r="M53" s="138">
        <f t="shared" si="7"/>
        <v>172500</v>
      </c>
    </row>
    <row r="54" spans="1:13">
      <c r="A54" s="131"/>
      <c r="B54" s="131" t="str">
        <v>MYL202507101</v>
      </c>
      <c r="C54" s="133" t="str">
        <v>MR BOUNKEUTH NORLATH</v>
      </c>
      <c r="D54" s="133">
        <v>2094297776</v>
      </c>
      <c r="E54" s="133" t="str">
        <v>Welding OTS 2</v>
      </c>
      <c r="F54" s="134" t="str">
        <v>ພາຍໃນປະເທດ</v>
      </c>
      <c r="G54" s="135">
        <v>26</v>
      </c>
      <c r="H54" s="136">
        <v>2500000</v>
      </c>
      <c r="I54" s="137">
        <f t="shared" si="4"/>
        <v>12019.23076923077</v>
      </c>
      <c r="J54" s="138">
        <f t="shared" si="5"/>
        <v>1802.8846153846155</v>
      </c>
      <c r="K54" s="137">
        <f t="shared" si="6"/>
        <v>13822.115384615385</v>
      </c>
      <c r="L54" s="139">
        <v>12</v>
      </c>
      <c r="M54" s="138">
        <f t="shared" si="7"/>
        <v>165865.38461538462</v>
      </c>
    </row>
    <row r="55" spans="1:13">
      <c r="A55" s="131"/>
      <c r="B55" s="131" t="str">
        <v>MYL202601126</v>
      </c>
      <c r="C55" s="133" t="str">
        <v>MR BONETHANA SYPASUET</v>
      </c>
      <c r="D55" s="133">
        <v>2098614922</v>
      </c>
      <c r="E55" s="133" t="str">
        <v>Welding OTS 2</v>
      </c>
      <c r="F55" s="134" t="str">
        <v>ພາຍໃນປະເທດ</v>
      </c>
      <c r="G55" s="135">
        <v>26</v>
      </c>
      <c r="H55" s="136">
        <v>2600000</v>
      </c>
      <c r="I55" s="137">
        <f t="shared" si="4"/>
        <v>12500</v>
      </c>
      <c r="J55" s="138">
        <f t="shared" si="5"/>
        <v>1875</v>
      </c>
      <c r="K55" s="137">
        <f t="shared" si="6"/>
        <v>14375</v>
      </c>
      <c r="L55" s="139">
        <v>12</v>
      </c>
      <c r="M55" s="138">
        <f t="shared" si="7"/>
        <v>172500</v>
      </c>
    </row>
    <row r="56" spans="1:13">
      <c r="A56" s="131"/>
      <c r="B56" s="131" t="str">
        <v>MYL202605148</v>
      </c>
      <c r="C56" s="133" t="str">
        <v>MR VILAYLACK SEEMIXAI</v>
      </c>
      <c r="D56" s="133">
        <v>2056183148</v>
      </c>
      <c r="E56" s="133" t="str">
        <v>Welding OTS 2</v>
      </c>
      <c r="F56" s="134" t="str">
        <v>ພາຍໃນປະເທດ</v>
      </c>
      <c r="G56" s="135">
        <v>26</v>
      </c>
      <c r="H56" s="136">
        <v>2500000</v>
      </c>
      <c r="I56" s="137">
        <f t="shared" si="4"/>
        <v>12019.23076923077</v>
      </c>
      <c r="J56" s="138">
        <f t="shared" si="5"/>
        <v>1802.8846153846155</v>
      </c>
      <c r="K56" s="137">
        <f t="shared" si="6"/>
        <v>13822.115384615385</v>
      </c>
      <c r="L56" s="139">
        <v>11</v>
      </c>
      <c r="M56" s="138">
        <f t="shared" si="7"/>
        <v>152043.26923076922</v>
      </c>
    </row>
    <row r="57" spans="1:13">
      <c r="A57" s="131"/>
      <c r="B57" s="131" t="str">
        <v>MYL202606154</v>
      </c>
      <c r="C57" s="133" t="str">
        <v>MR THUDSAPHONE HOUNGLADSAMEE</v>
      </c>
      <c r="D57" s="133">
        <v>2097845973</v>
      </c>
      <c r="E57" s="133" t="str">
        <v>Welding OTS 2</v>
      </c>
      <c r="F57" s="134" t="str">
        <v>ພາຍໃນປະເທດ</v>
      </c>
      <c r="G57" s="135">
        <v>26</v>
      </c>
      <c r="H57" s="136">
        <v>2500000</v>
      </c>
      <c r="I57" s="137">
        <f t="shared" si="4"/>
        <v>12019.23076923077</v>
      </c>
      <c r="J57" s="138">
        <f t="shared" si="5"/>
        <v>1802.8846153846155</v>
      </c>
      <c r="K57" s="137">
        <f t="shared" si="6"/>
        <v>13822.115384615385</v>
      </c>
      <c r="L57" s="139">
        <v>6</v>
      </c>
      <c r="M57" s="138">
        <f t="shared" si="7"/>
        <v>82932.692307692312</v>
      </c>
    </row>
    <row r="58" spans="1:13">
      <c r="A58" s="131"/>
      <c r="B58" s="131" t="str">
        <v>MYL202001008</v>
      </c>
      <c r="C58" s="133" t="str">
        <v>MRS SAVINY PHOUTTHALAKSA</v>
      </c>
      <c r="D58" s="133">
        <v>2099481761</v>
      </c>
      <c r="E58" s="133" t="str">
        <v>Valve Assembly</v>
      </c>
      <c r="F58" s="134" t="str">
        <v>ພາຍໃນປະເທດ</v>
      </c>
      <c r="G58" s="135">
        <v>26</v>
      </c>
      <c r="H58" s="136">
        <v>2865137.824</v>
      </c>
      <c r="I58" s="137">
        <f t="shared" si="4"/>
        <v>13774.701076923076</v>
      </c>
      <c r="J58" s="138">
        <f t="shared" si="5"/>
        <v>2066.2051615384612</v>
      </c>
      <c r="K58" s="137">
        <f t="shared" si="6"/>
        <v>15840.906238461537</v>
      </c>
      <c r="L58" s="139">
        <v>6</v>
      </c>
      <c r="M58" s="138">
        <f t="shared" si="7"/>
        <v>95045.43743076922</v>
      </c>
    </row>
    <row r="59" spans="1:13">
      <c r="A59" s="131"/>
      <c r="B59" s="131" t="str">
        <v>MYL202501009</v>
      </c>
      <c r="C59" s="133" t="str">
        <v>MRS SUINOY THILAKHAMPHIW</v>
      </c>
      <c r="D59" s="133">
        <v>2077053990</v>
      </c>
      <c r="E59" s="133" t="str">
        <v>Valve Assembly</v>
      </c>
      <c r="F59" s="134" t="str">
        <v>ພາຍໃນປະເທດ</v>
      </c>
      <c r="G59" s="135">
        <v>26</v>
      </c>
      <c r="H59" s="136">
        <v>2600000</v>
      </c>
      <c r="I59" s="137">
        <f t="shared" si="4"/>
        <v>12500</v>
      </c>
      <c r="J59" s="138">
        <f t="shared" si="5"/>
        <v>1875</v>
      </c>
      <c r="K59" s="137">
        <f t="shared" si="6"/>
        <v>14375</v>
      </c>
      <c r="L59" s="139">
        <v>6</v>
      </c>
      <c r="M59" s="138">
        <f t="shared" si="7"/>
        <v>86250</v>
      </c>
    </row>
    <row r="60" spans="1:13">
      <c r="A60" s="131"/>
      <c r="B60" s="131" t="str">
        <v>MYL202001019</v>
      </c>
      <c r="C60" s="133" t="str">
        <v>MRS VANNAPHA VONGCHANDY</v>
      </c>
      <c r="D60" s="133">
        <v>2051502770</v>
      </c>
      <c r="E60" s="133" t="str">
        <v>PISTON Assembly</v>
      </c>
      <c r="F60" s="134" t="str">
        <v>ພາຍໃນປະເທດ</v>
      </c>
      <c r="G60" s="135">
        <v>26</v>
      </c>
      <c r="H60" s="136">
        <v>2865137.824</v>
      </c>
      <c r="I60" s="137">
        <f t="shared" si="4"/>
        <v>13774.701076923076</v>
      </c>
      <c r="J60" s="138">
        <f t="shared" si="5"/>
        <v>2066.2051615384612</v>
      </c>
      <c r="K60" s="137">
        <f t="shared" si="6"/>
        <v>15840.906238461537</v>
      </c>
      <c r="L60" s="139">
        <v>6</v>
      </c>
      <c r="M60" s="138">
        <f t="shared" si="7"/>
        <v>95045.43743076922</v>
      </c>
    </row>
    <row r="61" spans="1:13">
      <c r="A61" s="131"/>
      <c r="B61" s="131" t="str">
        <v>MYL202509115</v>
      </c>
      <c r="C61" s="133" t="str">
        <v>MRS TOUNY SENGSOULIN</v>
      </c>
      <c r="D61" s="133">
        <v>2091940060</v>
      </c>
      <c r="E61" s="133" t="str">
        <v>PISTON Assembly</v>
      </c>
      <c r="F61" s="134" t="str">
        <v>ພາຍໃນປະເທດ</v>
      </c>
      <c r="G61" s="135">
        <v>26</v>
      </c>
      <c r="H61" s="136">
        <v>2600000</v>
      </c>
      <c r="I61" s="137">
        <f t="shared" si="4"/>
        <v>12500</v>
      </c>
      <c r="J61" s="138">
        <f t="shared" si="5"/>
        <v>1875</v>
      </c>
      <c r="K61" s="137">
        <f t="shared" si="6"/>
        <v>14375</v>
      </c>
      <c r="L61" s="139">
        <v>5</v>
      </c>
      <c r="M61" s="138">
        <f t="shared" si="7"/>
        <v>71875</v>
      </c>
    </row>
    <row r="62" spans="1:13">
      <c r="A62" s="131"/>
      <c r="B62" s="131" t="str">
        <v>MYL201908033</v>
      </c>
      <c r="C62" s="133" t="str">
        <v>MR SIPHAN KITTILATH</v>
      </c>
      <c r="D62" s="133">
        <v>2051502770</v>
      </c>
      <c r="E62" s="133" t="str">
        <v>Assembly_PTS</v>
      </c>
      <c r="F62" s="134" t="str">
        <v>ພາຍໃນປະເທດ</v>
      </c>
      <c r="G62" s="135">
        <v>26</v>
      </c>
      <c r="H62" s="136">
        <v>3300000</v>
      </c>
      <c r="I62" s="137">
        <f t="shared" si="4"/>
        <v>15865.384615384615</v>
      </c>
      <c r="J62" s="138">
        <f t="shared" si="5"/>
        <v>2379.8076923076924</v>
      </c>
      <c r="K62" s="137">
        <f t="shared" si="6"/>
        <v>18245.192307692309</v>
      </c>
      <c r="L62" s="139">
        <v>6</v>
      </c>
      <c r="M62" s="138">
        <f t="shared" si="7"/>
        <v>109471.15384615384</v>
      </c>
    </row>
    <row r="63" spans="1:13">
      <c r="A63" s="131"/>
      <c r="B63" s="131" t="str">
        <v>MYL202502017</v>
      </c>
      <c r="C63" s="133" t="str">
        <v>MRS KHAMPHOUVI SETTHATHILATH</v>
      </c>
      <c r="D63" s="133">
        <v>2095818828</v>
      </c>
      <c r="E63" s="133" t="str">
        <v>Assembly_PTS</v>
      </c>
      <c r="F63" s="134" t="str">
        <v>ພາຍໃນປະເທດ</v>
      </c>
      <c r="G63" s="135">
        <v>26</v>
      </c>
      <c r="H63" s="136">
        <v>2600000</v>
      </c>
      <c r="I63" s="137">
        <f t="shared" si="4"/>
        <v>12500</v>
      </c>
      <c r="J63" s="138">
        <f t="shared" si="5"/>
        <v>1875</v>
      </c>
      <c r="K63" s="137">
        <f t="shared" si="6"/>
        <v>14375</v>
      </c>
      <c r="L63" s="139">
        <v>6</v>
      </c>
      <c r="M63" s="138">
        <f t="shared" si="7"/>
        <v>86250</v>
      </c>
    </row>
    <row r="64" spans="1:13">
      <c r="A64" s="131"/>
      <c r="B64" s="131" t="str">
        <v>MYL202405034</v>
      </c>
      <c r="C64" s="133" t="str">
        <v>MRS TOUKTA ORLADASITH</v>
      </c>
      <c r="D64" s="133">
        <v>2096080362</v>
      </c>
      <c r="E64" s="133" t="str">
        <v>Assembly_PTS</v>
      </c>
      <c r="F64" s="134" t="str">
        <v>ພາຍໃນປະເທດ</v>
      </c>
      <c r="G64" s="135">
        <v>26</v>
      </c>
      <c r="H64" s="136">
        <v>2668000</v>
      </c>
      <c r="I64" s="137">
        <f t="shared" si="4"/>
        <v>12826.923076923076</v>
      </c>
      <c r="J64" s="138">
        <f t="shared" si="5"/>
        <v>1924.0384615384614</v>
      </c>
      <c r="K64" s="137">
        <f t="shared" si="6"/>
        <v>14750.961538461537</v>
      </c>
      <c r="L64" s="139">
        <v>6</v>
      </c>
      <c r="M64" s="138">
        <f t="shared" si="7"/>
        <v>88505.76923076922</v>
      </c>
    </row>
    <row r="65" spans="1:13">
      <c r="A65" s="131"/>
      <c r="B65" s="131" t="str">
        <v>MYT202511121</v>
      </c>
      <c r="C65" s="133" t="str">
        <v>MR KHAMPHENG SENGDALA</v>
      </c>
      <c r="D65" s="133">
        <v>2058128091</v>
      </c>
      <c r="E65" s="133" t="str">
        <v>Assembly_PTS</v>
      </c>
      <c r="F65" s="134" t="str">
        <v>ພາຍໃນປະເທດ</v>
      </c>
      <c r="G65" s="135">
        <v>26</v>
      </c>
      <c r="H65" s="136">
        <v>2600000</v>
      </c>
      <c r="I65" s="137">
        <f t="shared" si="4"/>
        <v>12500</v>
      </c>
      <c r="J65" s="138">
        <f t="shared" si="5"/>
        <v>1875</v>
      </c>
      <c r="K65" s="137">
        <f t="shared" si="6"/>
        <v>14375</v>
      </c>
      <c r="L65" s="139">
        <v>5</v>
      </c>
      <c r="M65" s="138">
        <f t="shared" si="7"/>
        <v>71875</v>
      </c>
    </row>
    <row r="66" spans="1:13">
      <c r="A66" s="131"/>
      <c r="B66" s="131" t="str">
        <v>MYL202604145</v>
      </c>
      <c r="C66" s="133" t="str">
        <v>MRS SUAY SENGDALA</v>
      </c>
      <c r="D66" s="133">
        <v>2077315902</v>
      </c>
      <c r="E66" s="133" t="str">
        <v>Assembly_PTS</v>
      </c>
      <c r="F66" s="134" t="str">
        <v>ພາຍໃນປະເທດ</v>
      </c>
      <c r="G66" s="135">
        <v>26</v>
      </c>
      <c r="H66" s="136">
        <v>2500000</v>
      </c>
      <c r="I66" s="137">
        <f t="shared" si="4"/>
        <v>12019.23076923077</v>
      </c>
      <c r="J66" s="138">
        <f t="shared" si="5"/>
        <v>1802.8846153846155</v>
      </c>
      <c r="K66" s="137">
        <f t="shared" si="6"/>
        <v>13822.115384615385</v>
      </c>
      <c r="L66" s="139">
        <v>3</v>
      </c>
      <c r="M66" s="138">
        <f t="shared" si="7"/>
        <v>41466.346153846156</v>
      </c>
    </row>
    <row r="67" spans="1:13">
      <c r="A67" s="131"/>
      <c r="B67" s="131" t="str">
        <v>MYL202405063</v>
      </c>
      <c r="C67" s="133" t="str">
        <v>MR LOUNGMISAY SINPASEUTH</v>
      </c>
      <c r="D67" s="133">
        <v>2098774705</v>
      </c>
      <c r="E67" s="133" t="str">
        <v>Assembly SAS</v>
      </c>
      <c r="F67" s="134" t="str">
        <v>ພາຍໃນປະເທດ</v>
      </c>
      <c r="G67" s="135">
        <v>26</v>
      </c>
      <c r="H67" s="136">
        <v>3300000</v>
      </c>
      <c r="I67" s="137">
        <f t="shared" si="4"/>
        <v>15865.384615384615</v>
      </c>
      <c r="J67" s="138">
        <f t="shared" si="5"/>
        <v>2379.8076923076924</v>
      </c>
      <c r="K67" s="137">
        <f t="shared" si="6"/>
        <v>18245.192307692309</v>
      </c>
      <c r="L67" s="139">
        <v>5</v>
      </c>
      <c r="M67" s="138">
        <f t="shared" si="7"/>
        <v>91225.961538461546</v>
      </c>
    </row>
    <row r="68" spans="1:13">
      <c r="A68" s="131"/>
      <c r="B68" s="131" t="str">
        <v>MYL202406012</v>
      </c>
      <c r="C68" s="133" t="str">
        <v>MR JIMMY KETTAVONG</v>
      </c>
      <c r="D68" s="133">
        <v>2091940060</v>
      </c>
      <c r="E68" s="133" t="str">
        <v>Assembly SAS</v>
      </c>
      <c r="F68" s="134" t="str">
        <v>ພາຍໃນປະເທດ</v>
      </c>
      <c r="G68" s="135">
        <v>26</v>
      </c>
      <c r="H68" s="136">
        <v>2685000</v>
      </c>
      <c r="I68" s="137">
        <f t="shared" si="4"/>
        <v>12908.653846153846</v>
      </c>
      <c r="J68" s="138">
        <f t="shared" si="5"/>
        <v>1936.2980769230767</v>
      </c>
      <c r="K68" s="137">
        <f t="shared" si="6"/>
        <v>14844.951923076922</v>
      </c>
      <c r="L68" s="139">
        <v>5</v>
      </c>
      <c r="M68" s="138">
        <f t="shared" si="7"/>
        <v>74224.75961538461</v>
      </c>
    </row>
    <row r="69" spans="1:13">
      <c r="A69" s="131">
        <v>5</v>
      </c>
      <c r="B69" s="131" t="str">
        <v>MYL202405031</v>
      </c>
      <c r="C69" s="133" t="str">
        <v>MR NOUPHONE CHANTHAMALY</v>
      </c>
      <c r="D69" s="133">
        <v>2057025508</v>
      </c>
      <c r="E69" s="133" t="str">
        <v>Assembly SAS</v>
      </c>
      <c r="F69" s="134" t="str">
        <v>ພາຍໃນປະເທດ</v>
      </c>
      <c r="G69" s="135">
        <v>26</v>
      </c>
      <c r="H69" s="136">
        <v>2702000</v>
      </c>
      <c r="I69" s="137">
        <f t="shared" si="4"/>
        <v>12990.384615384615</v>
      </c>
      <c r="J69" s="138">
        <f t="shared" si="5"/>
        <v>1948.5576923076922</v>
      </c>
      <c r="K69" s="137">
        <f t="shared" si="6"/>
        <v>14938.942307692307</v>
      </c>
      <c r="L69" s="139">
        <v>5</v>
      </c>
      <c r="M69" s="138">
        <f t="shared" si="7"/>
        <v>74694.711538461532</v>
      </c>
    </row>
    <row r="70" spans="1:13">
      <c r="A70" s="131"/>
      <c r="B70" s="131" t="str">
        <v>MYL202504053</v>
      </c>
      <c r="C70" s="133" t="str">
        <v>MISS SOUTSADA SOUTHALIN</v>
      </c>
      <c r="D70" s="133">
        <v>2096593001</v>
      </c>
      <c r="E70" s="133" t="str">
        <v>Assembly SAS</v>
      </c>
      <c r="F70" s="134" t="str">
        <v>ພາຍໃນປະເທດ</v>
      </c>
      <c r="G70" s="135">
        <v>26</v>
      </c>
      <c r="H70" s="136">
        <v>2600000</v>
      </c>
      <c r="I70" s="137">
        <f t="shared" si="4"/>
        <v>12500</v>
      </c>
      <c r="J70" s="138">
        <f t="shared" si="5"/>
        <v>1875</v>
      </c>
      <c r="K70" s="137">
        <f t="shared" si="6"/>
        <v>14375</v>
      </c>
      <c r="L70" s="139">
        <v>6</v>
      </c>
      <c r="M70" s="138">
        <f t="shared" si="7"/>
        <v>86250</v>
      </c>
    </row>
    <row r="71" spans="1:13">
      <c r="A71" s="131"/>
      <c r="B71" s="131" t="str">
        <v>MYL202505080</v>
      </c>
      <c r="C71" s="133" t="str">
        <v>MR BOM CHANTHALATH</v>
      </c>
      <c r="D71" s="133">
        <v>2077522028</v>
      </c>
      <c r="E71" s="133" t="str">
        <v>Assembly SAS</v>
      </c>
      <c r="F71" s="134" t="str">
        <v>ພາຍໃນປະເທດ</v>
      </c>
      <c r="G71" s="135">
        <v>26</v>
      </c>
      <c r="H71" s="136">
        <v>2600000</v>
      </c>
      <c r="I71" s="137">
        <f t="shared" si="4"/>
        <v>12500</v>
      </c>
      <c r="J71" s="138">
        <f t="shared" si="5"/>
        <v>1875</v>
      </c>
      <c r="K71" s="137">
        <f t="shared" si="6"/>
        <v>14375</v>
      </c>
      <c r="L71" s="139">
        <v>6</v>
      </c>
      <c r="M71" s="138">
        <f t="shared" si="7"/>
        <v>86250</v>
      </c>
    </row>
    <row r="72" spans="1:13">
      <c r="A72" s="131"/>
      <c r="B72" s="131" t="str">
        <v>MYL202505090</v>
      </c>
      <c r="C72" s="133" t="str">
        <v>MR SOUKCHAI XAISONGKHARM</v>
      </c>
      <c r="D72" s="133">
        <v>2094049929</v>
      </c>
      <c r="E72" s="133" t="str">
        <v>Assembly SAS</v>
      </c>
      <c r="F72" s="134" t="str">
        <v>ພາຍໃນປະເທດ</v>
      </c>
      <c r="G72" s="135">
        <v>26</v>
      </c>
      <c r="H72" s="136">
        <v>2500000</v>
      </c>
      <c r="I72" s="137">
        <f t="shared" ref="I72:I80" si="8">H72/G72/8</f>
        <v>12019.23076923077</v>
      </c>
      <c r="J72" s="138">
        <f t="shared" ref="J72:J81" si="9">I72*$J$6</f>
        <v>1802.8846153846155</v>
      </c>
      <c r="K72" s="137">
        <f t="shared" ref="K72:K81" si="10">I72+J72</f>
        <v>13822.115384615385</v>
      </c>
      <c r="L72" s="139">
        <v>5</v>
      </c>
      <c r="M72" s="138">
        <f t="shared" ref="M72:M81" si="11">K72*L72</f>
        <v>69110.576923076922</v>
      </c>
    </row>
    <row r="73" spans="1:13">
      <c r="A73" s="131"/>
      <c r="B73" s="131" t="str">
        <v>MYL202606161</v>
      </c>
      <c r="C73" s="133" t="str">
        <v>MR PHOUTHASONE SEELIVONGE</v>
      </c>
      <c r="D73" s="133">
        <v>2092862090</v>
      </c>
      <c r="E73" s="133" t="str">
        <v>Assembly SAS</v>
      </c>
      <c r="F73" s="134" t="str">
        <v>ພາຍໃນປະເທດ</v>
      </c>
      <c r="G73" s="135">
        <v>26</v>
      </c>
      <c r="H73" s="136">
        <v>2500000</v>
      </c>
      <c r="I73" s="137">
        <f t="shared" si="8"/>
        <v>12019.23076923077</v>
      </c>
      <c r="J73" s="138">
        <f t="shared" si="9"/>
        <v>1802.8846153846155</v>
      </c>
      <c r="K73" s="137">
        <f t="shared" si="10"/>
        <v>13822.115384615385</v>
      </c>
      <c r="L73" s="139">
        <v>2</v>
      </c>
      <c r="M73" s="138">
        <f t="shared" si="11"/>
        <v>27644.23076923077</v>
      </c>
    </row>
    <row r="74" spans="1:13">
      <c r="A74" s="131"/>
      <c r="B74" s="131" t="str">
        <v>MYL202502032</v>
      </c>
      <c r="C74" s="133" t="str">
        <v>MR BAIPHONE SYTHALATH</v>
      </c>
      <c r="D74" s="133">
        <v>2092797378</v>
      </c>
      <c r="E74" s="133" t="str">
        <v>PACKING</v>
      </c>
      <c r="F74" s="134" t="str">
        <v>ພາຍໃນປະເທດ</v>
      </c>
      <c r="G74" s="135">
        <v>26</v>
      </c>
      <c r="H74" s="136">
        <v>2600000</v>
      </c>
      <c r="I74" s="137">
        <f t="shared" si="8"/>
        <v>12500</v>
      </c>
      <c r="J74" s="138">
        <f t="shared" si="9"/>
        <v>1875</v>
      </c>
      <c r="K74" s="137">
        <f t="shared" si="10"/>
        <v>14375</v>
      </c>
      <c r="L74" s="139">
        <v>5</v>
      </c>
      <c r="M74" s="138">
        <f t="shared" si="11"/>
        <v>71875</v>
      </c>
    </row>
    <row r="75" spans="1:13">
      <c r="A75" s="131"/>
      <c r="B75" s="131" t="str">
        <v>MYL202503139</v>
      </c>
      <c r="C75" s="133" t="str">
        <v>MR VANHOUDONE PHOMMATHAI</v>
      </c>
      <c r="D75" s="133">
        <v>2094335180</v>
      </c>
      <c r="E75" s="133" t="str">
        <v>PACKING</v>
      </c>
      <c r="F75" s="134" t="str">
        <v>ພາຍໃນປະເທດ</v>
      </c>
      <c r="G75" s="135">
        <v>26</v>
      </c>
      <c r="H75" s="136">
        <v>2500000</v>
      </c>
      <c r="I75" s="137">
        <f t="shared" si="8"/>
        <v>12019.23076923077</v>
      </c>
      <c r="J75" s="138">
        <f t="shared" si="9"/>
        <v>1802.8846153846155</v>
      </c>
      <c r="K75" s="137">
        <f t="shared" si="10"/>
        <v>13822.115384615385</v>
      </c>
      <c r="L75" s="139">
        <v>1</v>
      </c>
      <c r="M75" s="138">
        <f t="shared" si="11"/>
        <v>13822.115384615385</v>
      </c>
    </row>
    <row r="76" spans="1:13">
      <c r="A76" s="131"/>
      <c r="B76" s="131" t="str">
        <v>MYL000006</v>
      </c>
      <c r="C76" s="133" t="str">
        <v>MISS PHONEMANY BANPHACHA</v>
      </c>
      <c r="D76" s="133">
        <v>2099955542</v>
      </c>
      <c r="E76" s="133" t="str">
        <v>PACKING</v>
      </c>
      <c r="F76" s="134" t="str">
        <v>ພາຍໃນປະເທດ</v>
      </c>
      <c r="G76" s="135">
        <v>26</v>
      </c>
      <c r="H76" s="136">
        <v>3500000</v>
      </c>
      <c r="I76" s="137">
        <f t="shared" si="8"/>
        <v>16826.923076923078</v>
      </c>
      <c r="J76" s="138">
        <f t="shared" si="9"/>
        <v>2524.0384615384614</v>
      </c>
      <c r="K76" s="137">
        <f t="shared" si="10"/>
        <v>19350.961538461539</v>
      </c>
      <c r="L76" s="139"/>
      <c r="M76" s="138">
        <f t="shared" si="11"/>
        <v>0</v>
      </c>
    </row>
    <row r="77" spans="1:13">
      <c r="A77" s="131"/>
      <c r="B77" s="131" t="str">
        <v>MYL000007</v>
      </c>
      <c r="C77" s="133" t="str">
        <v>MISS DOUANGDAO BANPHACHA</v>
      </c>
      <c r="D77" s="133">
        <v>2055302407</v>
      </c>
      <c r="E77" s="133" t="str">
        <v>PACKING</v>
      </c>
      <c r="F77" s="134" t="str">
        <v>ພາຍໃນປະເທດ</v>
      </c>
      <c r="G77" s="135">
        <v>26</v>
      </c>
      <c r="H77" s="136">
        <v>3500000</v>
      </c>
      <c r="I77" s="137">
        <f t="shared" si="8"/>
        <v>16826.923076923078</v>
      </c>
      <c r="J77" s="138">
        <f t="shared" si="9"/>
        <v>2524.0384615384614</v>
      </c>
      <c r="K77" s="137">
        <f t="shared" si="10"/>
        <v>19350.961538461539</v>
      </c>
      <c r="L77" s="139"/>
      <c r="M77" s="138">
        <f t="shared" si="11"/>
        <v>0</v>
      </c>
    </row>
    <row r="78" spans="1:13">
      <c r="A78" s="131"/>
      <c r="B78" s="131" t="str">
        <v>MYL202502007</v>
      </c>
      <c r="C78" s="133" t="str">
        <v>MR CHANETHAVISAI PHATTHANA</v>
      </c>
      <c r="D78" s="133">
        <v>2094399366</v>
      </c>
      <c r="E78" s="133" t="str">
        <v>STORE TT</v>
      </c>
      <c r="F78" s="134" t="str">
        <v>ພາຍໃນປະເທດ</v>
      </c>
      <c r="G78" s="135">
        <v>26</v>
      </c>
      <c r="H78" s="136">
        <v>5445360</v>
      </c>
      <c r="I78" s="137">
        <f t="shared" si="8"/>
        <v>26179.615384615383</v>
      </c>
      <c r="J78" s="138">
        <f t="shared" si="9"/>
        <v>3926.9423076923072</v>
      </c>
      <c r="K78" s="137">
        <f t="shared" si="10"/>
        <v>30106.557692307691</v>
      </c>
      <c r="L78" s="139"/>
      <c r="M78" s="138">
        <f t="shared" si="11"/>
        <v>0</v>
      </c>
    </row>
    <row r="79" spans="1:13">
      <c r="A79" s="131"/>
      <c r="B79" s="131" t="str">
        <v>MYL202410021</v>
      </c>
      <c r="C79" s="133" t="str">
        <v xml:space="preserve">MISS PANATDA </v>
      </c>
      <c r="D79" s="133">
        <v>2077880077</v>
      </c>
      <c r="E79" s="133" t="str">
        <v>STORE TT</v>
      </c>
      <c r="F79" s="134" t="str">
        <v>ພາຍໃນປະເທດ</v>
      </c>
      <c r="G79" s="135">
        <v>26</v>
      </c>
      <c r="H79" s="136">
        <v>4900824</v>
      </c>
      <c r="I79" s="137">
        <f t="shared" si="8"/>
        <v>23561.653846153848</v>
      </c>
      <c r="J79" s="138">
        <f t="shared" si="9"/>
        <v>3534.248076923077</v>
      </c>
      <c r="K79" s="137">
        <f t="shared" si="10"/>
        <v>27095.901923076926</v>
      </c>
      <c r="L79" s="139"/>
      <c r="M79" s="138">
        <f t="shared" si="11"/>
        <v>0</v>
      </c>
    </row>
    <row r="80" spans="1:13">
      <c r="A80" s="131"/>
      <c r="B80" s="131" t="str">
        <v>MYL202606</v>
      </c>
      <c r="C80" s="133" t="str">
        <v>MISS MAION</v>
      </c>
      <c r="D80" s="133">
        <v>2078344522</v>
      </c>
      <c r="E80" s="133" t="str">
        <v>Assembly_PTS</v>
      </c>
      <c r="F80" s="134" t="str">
        <v>ພາຍໃນປະເທດ</v>
      </c>
      <c r="G80" s="135">
        <v>26</v>
      </c>
      <c r="H80" s="136">
        <v>2500000</v>
      </c>
      <c r="I80" s="137">
        <f t="shared" si="8"/>
        <v>12019.23076923077</v>
      </c>
      <c r="J80" s="138">
        <f t="shared" si="9"/>
        <v>1802.8846153846155</v>
      </c>
      <c r="K80" s="137">
        <f t="shared" si="10"/>
        <v>13822.115384615385</v>
      </c>
      <c r="L80" s="139">
        <v>4</v>
      </c>
      <c r="M80" s="138">
        <f t="shared" si="11"/>
        <v>55288.461538461539</v>
      </c>
    </row>
    <row r="81" spans="1:13">
      <c r="A81" s="131"/>
      <c r="B81" s="131"/>
      <c r="C81" s="133"/>
      <c r="D81" s="133"/>
      <c r="E81" s="133"/>
      <c r="F81" s="134"/>
      <c r="G81" s="135"/>
      <c r="H81" s="136"/>
      <c r="I81" s="137"/>
      <c r="J81" s="138">
        <f t="shared" si="9"/>
        <v>0</v>
      </c>
      <c r="K81" s="137">
        <f t="shared" si="10"/>
        <v>0</v>
      </c>
      <c r="L81" s="139"/>
      <c r="M81" s="138">
        <f t="shared" si="11"/>
        <v>0</v>
      </c>
    </row>
    <row r="82" spans="1:13">
      <c r="A82" s="131"/>
      <c r="B82" s="131"/>
      <c r="C82" s="133"/>
      <c r="D82" s="133"/>
      <c r="E82" s="133"/>
      <c r="F82" s="134"/>
      <c r="G82" s="135"/>
      <c r="H82" s="136"/>
      <c r="I82" s="137"/>
      <c r="J82" s="138"/>
      <c r="K82" s="137"/>
      <c r="L82" s="139"/>
      <c r="M82" s="138"/>
    </row>
    <row r="83" spans="1:13">
      <c r="A83" s="131"/>
      <c r="B83" s="131"/>
      <c r="C83" s="133"/>
      <c r="D83" s="133"/>
      <c r="E83" s="133"/>
      <c r="F83" s="134"/>
      <c r="G83" s="135"/>
      <c r="H83" s="136"/>
      <c r="I83" s="137"/>
      <c r="J83" s="138"/>
      <c r="K83" s="137"/>
      <c r="L83" s="139"/>
      <c r="M83" s="138"/>
    </row>
    <row r="84" spans="1:13">
      <c r="A84" s="131"/>
      <c r="B84" s="131"/>
      <c r="C84" s="133"/>
      <c r="D84" s="133"/>
      <c r="E84" s="133"/>
      <c r="F84" s="134"/>
      <c r="G84" s="135"/>
      <c r="H84" s="136"/>
      <c r="I84" s="137"/>
      <c r="J84" s="138"/>
      <c r="K84" s="137"/>
      <c r="L84" s="139"/>
      <c r="M84" s="138"/>
    </row>
    <row r="85" spans="1:13">
      <c r="A85" s="131"/>
      <c r="B85" s="131"/>
      <c r="C85" s="133"/>
      <c r="D85" s="133"/>
      <c r="E85" s="133"/>
      <c r="F85" s="134"/>
      <c r="G85" s="135"/>
      <c r="H85" s="136"/>
      <c r="I85" s="137"/>
      <c r="J85" s="138"/>
      <c r="K85" s="137"/>
      <c r="L85" s="139"/>
      <c r="M85" s="138"/>
    </row>
    <row r="86" spans="1:13">
      <c r="A86" s="131"/>
      <c r="B86" s="131"/>
      <c r="C86" s="133"/>
      <c r="D86" s="133"/>
      <c r="E86" s="133"/>
      <c r="F86" s="134"/>
      <c r="G86" s="135"/>
      <c r="H86" s="136"/>
      <c r="I86" s="137"/>
      <c r="J86" s="138"/>
      <c r="K86" s="137"/>
      <c r="L86" s="139"/>
      <c r="M86" s="138"/>
    </row>
    <row r="87" spans="1:13">
      <c r="A87" s="131"/>
      <c r="B87" s="131"/>
      <c r="C87" s="133"/>
      <c r="D87" s="133"/>
      <c r="E87" s="133"/>
      <c r="F87" s="134"/>
      <c r="G87" s="135"/>
      <c r="H87" s="136"/>
      <c r="I87" s="137"/>
      <c r="J87" s="138"/>
      <c r="K87" s="137"/>
      <c r="L87" s="139"/>
      <c r="M87" s="138"/>
    </row>
    <row r="88" spans="1:13">
      <c r="A88" s="131"/>
      <c r="B88" s="131"/>
      <c r="C88" s="133"/>
      <c r="D88" s="133"/>
      <c r="E88" s="133"/>
      <c r="F88" s="134"/>
      <c r="G88" s="135"/>
      <c r="H88" s="136"/>
      <c r="I88" s="137"/>
      <c r="J88" s="138"/>
      <c r="K88" s="137"/>
      <c r="L88" s="139"/>
      <c r="M88" s="138"/>
    </row>
    <row r="89" spans="1:13">
      <c r="A89" s="131"/>
      <c r="B89" s="131"/>
      <c r="C89" s="133"/>
      <c r="D89" s="133"/>
      <c r="E89" s="133"/>
      <c r="F89" s="134"/>
      <c r="G89" s="135"/>
      <c r="H89" s="136"/>
      <c r="I89" s="137"/>
      <c r="J89" s="138"/>
      <c r="K89" s="137"/>
      <c r="L89" s="139"/>
      <c r="M89" s="138"/>
    </row>
    <row r="90" spans="1:13">
      <c r="A90" s="131"/>
      <c r="B90" s="131"/>
      <c r="C90" s="133"/>
      <c r="D90" s="133"/>
      <c r="E90" s="133"/>
      <c r="F90" s="134"/>
      <c r="G90" s="135"/>
      <c r="H90" s="136"/>
      <c r="I90" s="137"/>
      <c r="J90" s="138"/>
      <c r="K90" s="137"/>
      <c r="L90" s="139"/>
      <c r="M90" s="138"/>
    </row>
    <row r="91" spans="1:13">
      <c r="A91" s="131"/>
      <c r="B91" s="131"/>
      <c r="C91" s="133"/>
      <c r="D91" s="133"/>
      <c r="E91" s="133"/>
      <c r="F91" s="134"/>
      <c r="G91" s="135"/>
      <c r="H91" s="136"/>
      <c r="I91" s="137"/>
      <c r="J91" s="138"/>
      <c r="K91" s="137"/>
      <c r="L91" s="139"/>
      <c r="M91" s="138"/>
    </row>
    <row r="92" spans="1:13">
      <c r="A92" s="131"/>
      <c r="B92" s="131"/>
      <c r="C92" s="133"/>
      <c r="D92" s="133"/>
      <c r="E92" s="133"/>
      <c r="F92" s="134"/>
      <c r="G92" s="135"/>
      <c r="H92" s="136"/>
      <c r="I92" s="137"/>
      <c r="J92" s="138"/>
      <c r="K92" s="137"/>
      <c r="L92" s="139"/>
      <c r="M92" s="138"/>
    </row>
    <row r="93" spans="1:13">
      <c r="A93" s="131"/>
      <c r="B93" s="131"/>
      <c r="C93" s="133"/>
      <c r="D93" s="133"/>
      <c r="E93" s="133"/>
      <c r="F93" s="134"/>
      <c r="G93" s="135"/>
      <c r="H93" s="136"/>
      <c r="I93" s="137"/>
      <c r="J93" s="138"/>
      <c r="K93" s="137"/>
      <c r="L93" s="139"/>
      <c r="M93" s="138"/>
    </row>
    <row r="94" spans="1:13">
      <c r="A94" s="131"/>
      <c r="B94" s="131"/>
      <c r="C94" s="133"/>
      <c r="D94" s="133"/>
      <c r="E94" s="133"/>
      <c r="F94" s="134"/>
      <c r="G94" s="135"/>
      <c r="H94" s="136"/>
      <c r="I94" s="137"/>
      <c r="J94" s="138"/>
      <c r="K94" s="137"/>
      <c r="L94" s="139"/>
      <c r="M94" s="138"/>
    </row>
    <row r="95" spans="1:13">
      <c r="A95" s="131"/>
      <c r="B95" s="131"/>
      <c r="C95" s="133"/>
      <c r="D95" s="133"/>
      <c r="E95" s="133"/>
      <c r="F95" s="134"/>
      <c r="G95" s="135"/>
      <c r="H95" s="136"/>
      <c r="I95" s="137"/>
      <c r="J95" s="138"/>
      <c r="K95" s="137"/>
      <c r="L95" s="139"/>
      <c r="M95" s="138"/>
    </row>
    <row r="96" spans="1:13">
      <c r="A96" s="131"/>
      <c r="B96" s="131"/>
      <c r="C96" s="133"/>
      <c r="D96" s="133"/>
      <c r="E96" s="133"/>
      <c r="F96" s="134"/>
      <c r="G96" s="135"/>
      <c r="H96" s="136"/>
      <c r="I96" s="137"/>
      <c r="J96" s="138"/>
      <c r="K96" s="137"/>
      <c r="L96" s="139"/>
      <c r="M96" s="138"/>
    </row>
    <row r="97" spans="1:13">
      <c r="A97" s="131"/>
      <c r="B97" s="131"/>
      <c r="C97" s="133"/>
      <c r="D97" s="133"/>
      <c r="E97" s="133"/>
      <c r="F97" s="134"/>
      <c r="G97" s="135"/>
      <c r="H97" s="136"/>
      <c r="I97" s="137"/>
      <c r="J97" s="138"/>
      <c r="K97" s="137"/>
      <c r="L97" s="139"/>
      <c r="M97" s="138"/>
    </row>
    <row r="98" spans="1:13">
      <c r="A98" s="131"/>
      <c r="B98" s="131"/>
      <c r="C98" s="133"/>
      <c r="D98" s="133"/>
      <c r="E98" s="133"/>
      <c r="F98" s="134"/>
      <c r="G98" s="135"/>
      <c r="H98" s="136"/>
      <c r="I98" s="137"/>
      <c r="J98" s="138"/>
      <c r="K98" s="137"/>
      <c r="L98" s="139"/>
      <c r="M98" s="138"/>
    </row>
    <row r="99" spans="1:13">
      <c r="A99" s="131"/>
      <c r="B99" s="131"/>
      <c r="C99" s="133"/>
      <c r="D99" s="133"/>
      <c r="E99" s="133"/>
      <c r="F99" s="134"/>
      <c r="G99" s="135"/>
      <c r="H99" s="136"/>
      <c r="I99" s="137"/>
      <c r="J99" s="138"/>
      <c r="K99" s="137"/>
      <c r="L99" s="139"/>
      <c r="M99" s="138"/>
    </row>
    <row r="100" spans="1:13">
      <c r="A100" s="131"/>
      <c r="B100" s="131"/>
      <c r="C100" s="133"/>
      <c r="D100" s="133"/>
      <c r="E100" s="133"/>
      <c r="F100" s="134"/>
      <c r="G100" s="135"/>
      <c r="H100" s="136"/>
      <c r="I100" s="137"/>
      <c r="J100" s="138"/>
      <c r="K100" s="137"/>
      <c r="L100" s="139"/>
      <c r="M100" s="138"/>
    </row>
    <row r="101" spans="1:13" ht="18">
      <c r="A101" s="141"/>
      <c r="B101" s="141" t="s">
        <v>281</v>
      </c>
      <c r="C101" s="142"/>
      <c r="D101" s="142"/>
      <c r="E101" s="142"/>
      <c r="F101" s="143"/>
      <c r="G101" s="144"/>
      <c r="H101" s="145"/>
      <c r="I101" s="146">
        <f>SUBTOTAL(109,I8:I100)</f>
        <v>2046357.8348461525</v>
      </c>
      <c r="J101" s="146">
        <f>SUBTOTAL(109,J8:J100)</f>
        <v>306953.67522692302</v>
      </c>
      <c r="K101" s="146">
        <f>SUBTOTAL(109,K8:K100)</f>
        <v>2353311.5100730779</v>
      </c>
      <c r="L101" s="146">
        <f>SUBTOTAL(109,L8:L100)</f>
        <v>233.5</v>
      </c>
      <c r="M101" s="146">
        <f>SUBTOTAL(109,M8:M100)</f>
        <v>3407674.7690923074</v>
      </c>
    </row>
  </sheetData>
  <mergeCells count="1">
    <mergeCell ref="A5:M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"/>
  <sheetViews>
    <sheetView zoomScale="85" zoomScaleNormal="85" zoomScalePageLayoutView="85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A79" sqref="A79"/>
    </sheetView>
  </sheetViews>
  <sheetFormatPr defaultColWidth="10" defaultRowHeight="14.4"/>
  <cols>
    <col min="1" max="1" width="6" customWidth="1"/>
    <col min="2" max="2" width="14.88671875" bestFit="1" customWidth="1"/>
    <col min="3" max="3" width="42.6640625" bestFit="1" customWidth="1"/>
    <col min="4" max="4" width="15.33203125" customWidth="1"/>
    <col min="5" max="5" width="18.5546875" customWidth="1"/>
    <col min="6" max="6" width="12.33203125" bestFit="1" customWidth="1"/>
    <col min="7" max="7" width="5.5546875" customWidth="1"/>
    <col min="8" max="8" width="19.33203125" bestFit="1" customWidth="1"/>
    <col min="9" max="9" width="14.5546875" bestFit="1" customWidth="1"/>
    <col min="10" max="10" width="8.77734375" customWidth="1"/>
    <col min="11" max="11" width="14.5546875" bestFit="1" customWidth="1"/>
    <col min="12" max="12" width="16.5546875" bestFit="1" customWidth="1"/>
    <col min="13" max="13" width="8.88671875" bestFit="1" customWidth="1"/>
    <col min="14" max="14" width="14.109375" bestFit="1" customWidth="1"/>
    <col min="15" max="15" width="16.5546875" bestFit="1" customWidth="1"/>
    <col min="16" max="16" width="8.88671875" bestFit="1" customWidth="1"/>
    <col min="17" max="17" width="17.109375" bestFit="1" customWidth="1"/>
    <col min="18" max="18" width="18" bestFit="1" customWidth="1"/>
    <col min="19" max="19" width="11" bestFit="1" customWidth="1"/>
    <col min="20" max="20" width="18.5546875" bestFit="1" customWidth="1"/>
    <col min="21" max="21" width="18" bestFit="1" customWidth="1"/>
    <col min="22" max="22" width="12" customWidth="1"/>
    <col min="23" max="23" width="18.5546875" bestFit="1" customWidth="1"/>
    <col min="24" max="24" width="9.5546875" customWidth="1"/>
    <col min="26" max="26" width="6" bestFit="1" customWidth="1"/>
  </cols>
  <sheetData>
    <row r="1" spans="1:26">
      <c r="A1" s="147"/>
      <c r="B1" s="147"/>
      <c r="C1" s="147"/>
      <c r="D1" s="148"/>
      <c r="E1" s="149"/>
      <c r="F1" s="147"/>
      <c r="G1" s="147"/>
      <c r="H1" s="150"/>
      <c r="I1" s="147"/>
      <c r="J1" s="147"/>
      <c r="K1" s="147"/>
      <c r="L1" s="147"/>
      <c r="M1" s="147"/>
      <c r="N1" s="147"/>
      <c r="O1" s="147"/>
      <c r="P1" s="147"/>
      <c r="Q1" s="147"/>
      <c r="R1" s="150"/>
      <c r="S1" s="147"/>
      <c r="T1" s="151"/>
      <c r="U1" s="147"/>
      <c r="V1" s="147"/>
      <c r="W1" s="147"/>
      <c r="X1" s="147"/>
      <c r="Y1" s="147"/>
      <c r="Z1" s="147"/>
    </row>
    <row r="2" spans="1:26">
      <c r="A2" s="152"/>
      <c r="B2" s="152"/>
      <c r="C2" s="153"/>
      <c r="D2" s="154"/>
      <c r="E2" s="3"/>
      <c r="F2" s="153"/>
      <c r="G2" s="153"/>
      <c r="H2" s="155"/>
      <c r="I2" s="156"/>
      <c r="J2" s="156"/>
      <c r="K2" s="153"/>
      <c r="L2" s="156"/>
      <c r="M2" s="156"/>
      <c r="N2" s="153"/>
      <c r="O2" s="156"/>
      <c r="P2" s="156"/>
      <c r="Q2" s="153"/>
      <c r="R2" s="155"/>
      <c r="S2" s="156"/>
      <c r="T2" s="157"/>
      <c r="U2" s="153"/>
      <c r="V2" s="156"/>
      <c r="W2" s="153"/>
      <c r="X2" s="153"/>
      <c r="Y2" s="153"/>
      <c r="Z2" s="153"/>
    </row>
    <row r="3" spans="1:26">
      <c r="A3" s="158"/>
      <c r="B3" s="153"/>
      <c r="C3" s="153"/>
      <c r="D3" s="154"/>
      <c r="E3" s="3"/>
      <c r="F3" s="153"/>
      <c r="G3" s="153"/>
      <c r="H3" s="155"/>
      <c r="I3" s="156"/>
      <c r="J3" s="156"/>
      <c r="K3" s="153"/>
      <c r="L3" s="156"/>
      <c r="M3" s="156"/>
      <c r="N3" s="153"/>
      <c r="O3" s="156"/>
      <c r="P3" s="156"/>
      <c r="Q3" s="153"/>
      <c r="R3" s="155"/>
      <c r="S3" s="156"/>
      <c r="T3" s="157"/>
      <c r="U3" s="153"/>
      <c r="V3" s="156"/>
      <c r="W3" s="153"/>
      <c r="X3" s="153"/>
      <c r="Y3" s="153"/>
      <c r="Z3" s="153"/>
    </row>
    <row r="4" spans="1:26">
      <c r="A4" s="158"/>
      <c r="B4" s="153"/>
      <c r="C4" s="153"/>
      <c r="D4" s="154"/>
      <c r="E4" s="3"/>
      <c r="F4" s="153"/>
      <c r="G4" s="153"/>
      <c r="H4" s="155"/>
      <c r="I4" s="156"/>
      <c r="J4" s="156"/>
      <c r="K4" s="153"/>
      <c r="L4" s="156"/>
      <c r="M4" s="156"/>
      <c r="N4" s="153"/>
      <c r="O4" s="156"/>
      <c r="P4" s="156"/>
      <c r="Q4" s="153"/>
      <c r="R4" s="155"/>
      <c r="S4" s="156"/>
      <c r="T4" s="157"/>
      <c r="U4" s="153"/>
      <c r="V4" s="156"/>
      <c r="W4" s="153"/>
      <c r="X4" s="153"/>
      <c r="Y4" s="153"/>
      <c r="Z4" s="153"/>
    </row>
    <row r="5" spans="1:26" ht="17.399999999999999">
      <c r="A5" s="159" t="s">
        <v>282</v>
      </c>
      <c r="B5" s="80"/>
      <c r="C5" s="80"/>
      <c r="D5" s="80"/>
      <c r="E5" s="80"/>
      <c r="F5" s="80"/>
      <c r="G5" s="80"/>
      <c r="H5" s="82"/>
      <c r="I5" s="79"/>
      <c r="J5" s="81"/>
      <c r="K5" s="3"/>
      <c r="L5" s="79"/>
      <c r="M5" s="79"/>
      <c r="N5" s="3"/>
      <c r="O5" s="79"/>
      <c r="P5" s="79"/>
      <c r="Q5" s="3"/>
      <c r="R5" s="82"/>
      <c r="S5" s="81"/>
      <c r="T5" s="80"/>
      <c r="U5" s="3"/>
      <c r="V5" s="79"/>
      <c r="W5" s="3"/>
      <c r="X5" s="3"/>
      <c r="Y5" s="3"/>
      <c r="Z5" s="3"/>
    </row>
    <row r="6" spans="1:26" ht="46.8">
      <c r="A6" s="160" t="s">
        <v>257</v>
      </c>
      <c r="B6" s="161" t="s">
        <v>258</v>
      </c>
      <c r="C6" s="160" t="s">
        <v>259</v>
      </c>
      <c r="D6" s="160" t="s">
        <v>260</v>
      </c>
      <c r="E6" s="162" t="s">
        <v>6</v>
      </c>
      <c r="F6" s="163" t="s">
        <v>7</v>
      </c>
      <c r="G6" s="163"/>
      <c r="H6" s="164" t="s">
        <v>279</v>
      </c>
      <c r="I6" s="165" t="s">
        <v>283</v>
      </c>
      <c r="J6" s="162" t="s">
        <v>284</v>
      </c>
      <c r="K6" s="162" t="s">
        <v>285</v>
      </c>
      <c r="L6" s="165" t="s">
        <v>286</v>
      </c>
      <c r="M6" s="162" t="s">
        <v>287</v>
      </c>
      <c r="N6" s="162" t="s">
        <v>285</v>
      </c>
      <c r="O6" s="165" t="s">
        <v>288</v>
      </c>
      <c r="P6" s="162" t="s">
        <v>287</v>
      </c>
      <c r="Q6" s="162" t="s">
        <v>285</v>
      </c>
      <c r="R6" s="166" t="s">
        <v>289</v>
      </c>
      <c r="S6" s="162" t="s">
        <v>290</v>
      </c>
      <c r="T6" s="162" t="s">
        <v>291</v>
      </c>
      <c r="U6" s="166" t="s">
        <v>292</v>
      </c>
      <c r="V6" s="167" t="s">
        <v>293</v>
      </c>
      <c r="W6" s="162" t="s">
        <v>285</v>
      </c>
      <c r="X6" s="162"/>
      <c r="Y6" s="162"/>
      <c r="Z6" s="162"/>
    </row>
    <row r="7" spans="1:26" ht="15.6">
      <c r="A7" s="114"/>
      <c r="B7" s="114"/>
      <c r="C7" s="168"/>
      <c r="D7" s="168"/>
      <c r="E7" s="169">
        <v>0</v>
      </c>
      <c r="F7" s="170"/>
      <c r="G7" s="170"/>
      <c r="H7" s="169">
        <f t="shared" ref="H7:W7" si="0">SUBTOTAL(109,H8:H100)</f>
        <v>425642429.648</v>
      </c>
      <c r="I7" s="169">
        <f t="shared" si="0"/>
        <v>730000</v>
      </c>
      <c r="J7" s="169">
        <f t="shared" si="0"/>
        <v>39</v>
      </c>
      <c r="K7" s="169">
        <f t="shared" si="0"/>
        <v>390000</v>
      </c>
      <c r="L7" s="169">
        <f t="shared" si="0"/>
        <v>1460000</v>
      </c>
      <c r="M7" s="169">
        <f t="shared" si="0"/>
        <v>1</v>
      </c>
      <c r="N7" s="169">
        <f t="shared" si="0"/>
        <v>20000</v>
      </c>
      <c r="O7" s="169">
        <f t="shared" si="0"/>
        <v>8185431.3393846098</v>
      </c>
      <c r="P7" s="169">
        <f t="shared" si="0"/>
        <v>1</v>
      </c>
      <c r="Q7" s="169">
        <f t="shared" si="0"/>
        <v>50000</v>
      </c>
      <c r="R7" s="169">
        <f t="shared" si="0"/>
        <v>16370862.67876922</v>
      </c>
      <c r="S7" s="169">
        <f t="shared" si="0"/>
        <v>66.5</v>
      </c>
      <c r="T7" s="169">
        <f t="shared" si="0"/>
        <v>6925031.692307693</v>
      </c>
      <c r="U7" s="169">
        <f t="shared" si="0"/>
        <v>16370862.67876922</v>
      </c>
      <c r="V7" s="169">
        <f t="shared" si="0"/>
        <v>117</v>
      </c>
      <c r="W7" s="169">
        <f t="shared" si="0"/>
        <v>11492307.692307694</v>
      </c>
      <c r="X7" s="169">
        <v>0</v>
      </c>
      <c r="Y7" s="169"/>
      <c r="Z7" s="169">
        <v>0</v>
      </c>
    </row>
    <row r="8" spans="1:26">
      <c r="A8" s="171">
        <f t="array" ref="A8">_xlfn.SEQUENCE(COUNTA(B8:B100))</f>
        <v>1</v>
      </c>
      <c r="B8" s="172" t="str">
        <f t="array" ref="B8:H80">_xlfn._xlws.FILTER(TAX!$B$7:$H$98,TAX!H7:H98,TAX!$F$7:$F$98)</f>
        <v>MYL000001</v>
      </c>
      <c r="C8" s="173" t="str">
        <v>MR PHICHAI EIAMWATTANASILP</v>
      </c>
      <c r="D8" s="174" t="str">
        <v>66617893562</v>
      </c>
      <c r="E8" s="175" t="str">
        <v>Director</v>
      </c>
      <c r="F8" s="176" t="str">
        <v>ຕ່າງປະເທດ</v>
      </c>
      <c r="G8" s="177">
        <v>26</v>
      </c>
      <c r="H8" s="178">
        <v>68067000</v>
      </c>
      <c r="I8" s="179">
        <v>10000</v>
      </c>
      <c r="J8" s="180"/>
      <c r="K8" s="181">
        <f t="shared" ref="K8:K39" si="1">I8*J8</f>
        <v>0</v>
      </c>
      <c r="L8" s="182">
        <v>20000</v>
      </c>
      <c r="M8" s="183"/>
      <c r="N8" s="184">
        <f t="shared" ref="N8:N39" si="2">L8*M8</f>
        <v>0</v>
      </c>
      <c r="O8" s="185">
        <f t="shared" ref="O8:O39" si="3">H8/G8/2</f>
        <v>1308980.7692307692</v>
      </c>
      <c r="P8" s="180"/>
      <c r="Q8" s="186">
        <f t="shared" ref="Q8:Q39" si="4">O8*P8</f>
        <v>0</v>
      </c>
      <c r="R8" s="187">
        <f t="shared" ref="R8:R39" si="5">H8/G8</f>
        <v>2617961.5384615385</v>
      </c>
      <c r="S8" s="183"/>
      <c r="T8" s="188">
        <f t="shared" ref="T8:T39" si="6">R8*S8</f>
        <v>0</v>
      </c>
      <c r="U8" s="189">
        <f t="shared" ref="U8:U39" si="7">H8/G8</f>
        <v>2617961.5384615385</v>
      </c>
      <c r="V8" s="180"/>
      <c r="W8" s="181">
        <f t="shared" ref="W8:W39" si="8">U8*V8</f>
        <v>0</v>
      </c>
      <c r="X8" s="190"/>
      <c r="Y8" s="190"/>
      <c r="Z8" s="190"/>
    </row>
    <row r="9" spans="1:26">
      <c r="A9" s="171"/>
      <c r="B9" s="191" t="str">
        <v>MYL000005</v>
      </c>
      <c r="C9" s="173" t="str">
        <v>MR WEERASIT LEEGCHOUR</v>
      </c>
      <c r="D9" s="174">
        <v>2098388245</v>
      </c>
      <c r="E9" s="175" t="str">
        <v>Deputy director 04</v>
      </c>
      <c r="F9" s="176" t="str">
        <v>ຕ່າງປະເທດ</v>
      </c>
      <c r="G9" s="177">
        <v>26</v>
      </c>
      <c r="H9" s="178">
        <v>13613400</v>
      </c>
      <c r="I9" s="179">
        <v>10000</v>
      </c>
      <c r="J9" s="180"/>
      <c r="K9" s="181">
        <f t="shared" si="1"/>
        <v>0</v>
      </c>
      <c r="L9" s="182">
        <v>20000</v>
      </c>
      <c r="M9" s="183"/>
      <c r="N9" s="184">
        <f t="shared" si="2"/>
        <v>0</v>
      </c>
      <c r="O9" s="185">
        <f t="shared" si="3"/>
        <v>261796.15384615384</v>
      </c>
      <c r="P9" s="180"/>
      <c r="Q9" s="186">
        <f t="shared" si="4"/>
        <v>0</v>
      </c>
      <c r="R9" s="187">
        <f t="shared" si="5"/>
        <v>523592.30769230769</v>
      </c>
      <c r="S9" s="183"/>
      <c r="T9" s="188">
        <f t="shared" si="6"/>
        <v>0</v>
      </c>
      <c r="U9" s="189">
        <f t="shared" si="7"/>
        <v>523592.30769230769</v>
      </c>
      <c r="V9" s="180"/>
      <c r="W9" s="181">
        <f t="shared" si="8"/>
        <v>0</v>
      </c>
      <c r="X9" s="190"/>
      <c r="Y9" s="190"/>
      <c r="Z9" s="190"/>
    </row>
    <row r="10" spans="1:26">
      <c r="A10" s="192"/>
      <c r="B10" s="173" t="str">
        <v>MYL000002</v>
      </c>
      <c r="C10" s="173" t="str">
        <v>MRS Boualavanh BANPHACHA</v>
      </c>
      <c r="D10" s="193">
        <v>2023333500</v>
      </c>
      <c r="E10" s="194" t="str">
        <v>Deputy director 01</v>
      </c>
      <c r="F10" s="195" t="str">
        <v>ພາຍໃນປະເທດ</v>
      </c>
      <c r="G10" s="196">
        <v>26</v>
      </c>
      <c r="H10" s="197">
        <v>68067000</v>
      </c>
      <c r="I10" s="198">
        <v>10000</v>
      </c>
      <c r="J10" s="180"/>
      <c r="K10" s="181">
        <f t="shared" si="1"/>
        <v>0</v>
      </c>
      <c r="L10" s="182">
        <v>20000</v>
      </c>
      <c r="M10" s="183"/>
      <c r="N10" s="184">
        <f t="shared" si="2"/>
        <v>0</v>
      </c>
      <c r="O10" s="185">
        <f t="shared" si="3"/>
        <v>1308980.7692307692</v>
      </c>
      <c r="P10" s="180"/>
      <c r="Q10" s="186">
        <f t="shared" si="4"/>
        <v>0</v>
      </c>
      <c r="R10" s="187">
        <f t="shared" si="5"/>
        <v>2617961.5384615385</v>
      </c>
      <c r="S10" s="183"/>
      <c r="T10" s="188">
        <f t="shared" si="6"/>
        <v>0</v>
      </c>
      <c r="U10" s="189">
        <f t="shared" si="7"/>
        <v>2617961.5384615385</v>
      </c>
      <c r="V10" s="180"/>
      <c r="W10" s="181">
        <f t="shared" si="8"/>
        <v>0</v>
      </c>
      <c r="X10" s="199"/>
      <c r="Y10" s="199"/>
      <c r="Z10" s="199"/>
    </row>
    <row r="11" spans="1:26">
      <c r="A11" s="192"/>
      <c r="B11" s="200" t="str">
        <v>MYL000003</v>
      </c>
      <c r="C11" s="173" t="str">
        <v>MRS DATSANY BANPHAXA</v>
      </c>
      <c r="D11" s="193">
        <v>2023333800</v>
      </c>
      <c r="E11" s="194" t="str">
        <v>Deputy director 02</v>
      </c>
      <c r="F11" s="195" t="str">
        <v>ພາຍໃນປະເທດ</v>
      </c>
      <c r="G11" s="196">
        <v>26</v>
      </c>
      <c r="H11" s="197">
        <v>27226800</v>
      </c>
      <c r="I11" s="198">
        <v>10000</v>
      </c>
      <c r="J11" s="180"/>
      <c r="K11" s="181">
        <f t="shared" si="1"/>
        <v>0</v>
      </c>
      <c r="L11" s="182">
        <v>20000</v>
      </c>
      <c r="M11" s="183"/>
      <c r="N11" s="184">
        <f t="shared" si="2"/>
        <v>0</v>
      </c>
      <c r="O11" s="185">
        <f t="shared" si="3"/>
        <v>523592.30769230769</v>
      </c>
      <c r="P11" s="180"/>
      <c r="Q11" s="186">
        <f t="shared" si="4"/>
        <v>0</v>
      </c>
      <c r="R11" s="187">
        <f t="shared" si="5"/>
        <v>1047184.6153846154</v>
      </c>
      <c r="S11" s="183"/>
      <c r="T11" s="188">
        <f t="shared" si="6"/>
        <v>0</v>
      </c>
      <c r="U11" s="189">
        <f t="shared" si="7"/>
        <v>1047184.6153846154</v>
      </c>
      <c r="V11" s="180"/>
      <c r="W11" s="181">
        <f t="shared" si="8"/>
        <v>0</v>
      </c>
      <c r="X11" s="199"/>
      <c r="Y11" s="199"/>
      <c r="Z11" s="199"/>
    </row>
    <row r="12" spans="1:26">
      <c r="A12" s="192"/>
      <c r="B12" s="200" t="str">
        <v>MYL000004</v>
      </c>
      <c r="C12" s="173" t="str">
        <v>MISS BOUAVONE VANGVONGXAI</v>
      </c>
      <c r="D12" s="193">
        <v>2076198111</v>
      </c>
      <c r="E12" s="194" t="str">
        <v>Deputy director 03</v>
      </c>
      <c r="F12" s="195" t="str">
        <v>ພາຍໃນປະເທດ</v>
      </c>
      <c r="G12" s="196">
        <v>26</v>
      </c>
      <c r="H12" s="197">
        <v>13000000</v>
      </c>
      <c r="I12" s="198">
        <v>10000</v>
      </c>
      <c r="J12" s="180"/>
      <c r="K12" s="181">
        <f t="shared" si="1"/>
        <v>0</v>
      </c>
      <c r="L12" s="182">
        <v>20000</v>
      </c>
      <c r="M12" s="183"/>
      <c r="N12" s="184">
        <f t="shared" si="2"/>
        <v>0</v>
      </c>
      <c r="O12" s="185">
        <f t="shared" si="3"/>
        <v>250000</v>
      </c>
      <c r="P12" s="180"/>
      <c r="Q12" s="186">
        <f t="shared" si="4"/>
        <v>0</v>
      </c>
      <c r="R12" s="187">
        <f t="shared" si="5"/>
        <v>500000</v>
      </c>
      <c r="S12" s="183"/>
      <c r="T12" s="188">
        <f t="shared" si="6"/>
        <v>0</v>
      </c>
      <c r="U12" s="189">
        <f t="shared" si="7"/>
        <v>500000</v>
      </c>
      <c r="V12" s="180"/>
      <c r="W12" s="181">
        <f t="shared" si="8"/>
        <v>0</v>
      </c>
      <c r="X12" s="199"/>
      <c r="Y12" s="199"/>
      <c r="Z12" s="199"/>
    </row>
    <row r="13" spans="1:26">
      <c r="A13" s="192"/>
      <c r="B13" s="200" t="str">
        <v>MYL202210001</v>
      </c>
      <c r="C13" s="173" t="str">
        <v>MR ANOUSACK THAMMAVONG</v>
      </c>
      <c r="D13" s="193">
        <v>2077772708</v>
      </c>
      <c r="E13" s="194" t="str">
        <v>Accounting</v>
      </c>
      <c r="F13" s="195" t="str">
        <v>ພາຍໃນປະເທດ</v>
      </c>
      <c r="G13" s="196">
        <v>26</v>
      </c>
      <c r="H13" s="197">
        <v>10000000</v>
      </c>
      <c r="I13" s="198">
        <v>10000</v>
      </c>
      <c r="J13" s="180"/>
      <c r="K13" s="181">
        <f t="shared" si="1"/>
        <v>0</v>
      </c>
      <c r="L13" s="182">
        <v>20000</v>
      </c>
      <c r="M13" s="183"/>
      <c r="N13" s="184">
        <f t="shared" si="2"/>
        <v>0</v>
      </c>
      <c r="O13" s="185">
        <f t="shared" si="3"/>
        <v>192307.69230769231</v>
      </c>
      <c r="P13" s="180"/>
      <c r="Q13" s="186">
        <f t="shared" si="4"/>
        <v>0</v>
      </c>
      <c r="R13" s="187">
        <f t="shared" si="5"/>
        <v>384615.38461538462</v>
      </c>
      <c r="S13" s="183"/>
      <c r="T13" s="188">
        <f t="shared" si="6"/>
        <v>0</v>
      </c>
      <c r="U13" s="189">
        <f t="shared" si="7"/>
        <v>384615.38461538462</v>
      </c>
      <c r="V13" s="180"/>
      <c r="W13" s="181">
        <f t="shared" si="8"/>
        <v>0</v>
      </c>
      <c r="X13" s="199"/>
      <c r="Y13" s="199"/>
      <c r="Z13" s="199"/>
    </row>
    <row r="14" spans="1:26">
      <c r="A14" s="192"/>
      <c r="B14" s="200" t="str">
        <v>MYL202001001</v>
      </c>
      <c r="C14" s="173" t="str">
        <v>MR SONESAVANH PHENGPHINIT</v>
      </c>
      <c r="D14" s="193" t="str">
        <v>02092539860</v>
      </c>
      <c r="E14" s="194" t="str">
        <v>Accounting</v>
      </c>
      <c r="F14" s="195" t="str">
        <v>ພາຍໃນປະເທດ</v>
      </c>
      <c r="G14" s="196">
        <v>26</v>
      </c>
      <c r="H14" s="197">
        <v>6832000</v>
      </c>
      <c r="I14" s="198">
        <v>10000</v>
      </c>
      <c r="J14" s="180"/>
      <c r="K14" s="181">
        <f t="shared" si="1"/>
        <v>0</v>
      </c>
      <c r="L14" s="182">
        <v>20000</v>
      </c>
      <c r="M14" s="183"/>
      <c r="N14" s="184">
        <f t="shared" si="2"/>
        <v>0</v>
      </c>
      <c r="O14" s="185">
        <f t="shared" si="3"/>
        <v>131384.61538461538</v>
      </c>
      <c r="P14" s="180"/>
      <c r="Q14" s="186">
        <f t="shared" si="4"/>
        <v>0</v>
      </c>
      <c r="R14" s="187">
        <f t="shared" si="5"/>
        <v>262769.23076923075</v>
      </c>
      <c r="S14" s="183"/>
      <c r="T14" s="188">
        <f t="shared" si="6"/>
        <v>0</v>
      </c>
      <c r="U14" s="189">
        <f t="shared" si="7"/>
        <v>262769.23076923075</v>
      </c>
      <c r="V14" s="180"/>
      <c r="W14" s="181">
        <f t="shared" si="8"/>
        <v>0</v>
      </c>
      <c r="X14" s="199"/>
      <c r="Y14" s="199"/>
      <c r="Z14" s="199"/>
    </row>
    <row r="15" spans="1:26">
      <c r="A15" s="192"/>
      <c r="B15" s="200" t="str">
        <v>MYL202408005</v>
      </c>
      <c r="C15" s="173" t="str">
        <v>MISS CHANSAMONE PHANTHALAVONG</v>
      </c>
      <c r="D15" s="193">
        <v>2099701293</v>
      </c>
      <c r="E15" s="194" t="str">
        <v>Planning</v>
      </c>
      <c r="F15" s="195" t="str">
        <v>ພາຍໃນປະເທດ</v>
      </c>
      <c r="G15" s="196">
        <v>26</v>
      </c>
      <c r="H15" s="197">
        <v>6000000</v>
      </c>
      <c r="I15" s="198">
        <v>10000</v>
      </c>
      <c r="J15" s="180"/>
      <c r="K15" s="181">
        <f t="shared" si="1"/>
        <v>0</v>
      </c>
      <c r="L15" s="182">
        <v>20000</v>
      </c>
      <c r="M15" s="183"/>
      <c r="N15" s="184">
        <f t="shared" si="2"/>
        <v>0</v>
      </c>
      <c r="O15" s="185">
        <f t="shared" si="3"/>
        <v>115384.61538461539</v>
      </c>
      <c r="P15" s="180"/>
      <c r="Q15" s="186">
        <f t="shared" si="4"/>
        <v>0</v>
      </c>
      <c r="R15" s="187">
        <f t="shared" si="5"/>
        <v>230769.23076923078</v>
      </c>
      <c r="S15" s="183"/>
      <c r="T15" s="188">
        <f t="shared" si="6"/>
        <v>0</v>
      </c>
      <c r="U15" s="189">
        <f t="shared" si="7"/>
        <v>230769.23076923078</v>
      </c>
      <c r="V15" s="180"/>
      <c r="W15" s="181">
        <f t="shared" si="8"/>
        <v>0</v>
      </c>
      <c r="X15" s="199"/>
      <c r="Y15" s="199"/>
      <c r="Z15" s="199"/>
    </row>
    <row r="16" spans="1:26">
      <c r="A16" s="192"/>
      <c r="B16" s="200" t="str">
        <v>MYT202602136</v>
      </c>
      <c r="C16" s="173" t="str">
        <v>MRS BOUANGUEN SOMCHANMAVONG</v>
      </c>
      <c r="D16" s="193">
        <v>2056516668</v>
      </c>
      <c r="E16" s="194" t="str">
        <v>Planning</v>
      </c>
      <c r="F16" s="195" t="str">
        <v>ພາຍໃນປະເທດ</v>
      </c>
      <c r="G16" s="196">
        <v>26</v>
      </c>
      <c r="H16" s="197">
        <v>4500000</v>
      </c>
      <c r="I16" s="198">
        <v>10000</v>
      </c>
      <c r="J16" s="180"/>
      <c r="K16" s="181">
        <f t="shared" si="1"/>
        <v>0</v>
      </c>
      <c r="L16" s="182">
        <v>20000</v>
      </c>
      <c r="M16" s="183"/>
      <c r="N16" s="184">
        <f t="shared" si="2"/>
        <v>0</v>
      </c>
      <c r="O16" s="185">
        <f t="shared" si="3"/>
        <v>86538.461538461532</v>
      </c>
      <c r="P16" s="180"/>
      <c r="Q16" s="186">
        <f t="shared" si="4"/>
        <v>0</v>
      </c>
      <c r="R16" s="187">
        <f t="shared" si="5"/>
        <v>173076.92307692306</v>
      </c>
      <c r="S16" s="183">
        <v>0.5</v>
      </c>
      <c r="T16" s="188">
        <f t="shared" si="6"/>
        <v>86538.461538461532</v>
      </c>
      <c r="U16" s="189">
        <f t="shared" si="7"/>
        <v>173076.92307692306</v>
      </c>
      <c r="V16" s="180"/>
      <c r="W16" s="181">
        <f t="shared" si="8"/>
        <v>0</v>
      </c>
      <c r="X16" s="199"/>
      <c r="Y16" s="199"/>
      <c r="Z16" s="199"/>
    </row>
    <row r="17" spans="1:26">
      <c r="A17" s="192"/>
      <c r="B17" s="200" t="str">
        <v>MYL202606153</v>
      </c>
      <c r="C17" s="173" t="str">
        <v>MR SEUAPA XAIYAVONG</v>
      </c>
      <c r="D17" s="193">
        <v>2078150776</v>
      </c>
      <c r="E17" s="194" t="str">
        <v>Planning</v>
      </c>
      <c r="F17" s="195" t="str">
        <v>ພາຍໃນປະເທດ</v>
      </c>
      <c r="G17" s="196">
        <v>26</v>
      </c>
      <c r="H17" s="197">
        <v>3500000</v>
      </c>
      <c r="I17" s="198">
        <v>10000</v>
      </c>
      <c r="J17" s="180"/>
      <c r="K17" s="181">
        <f t="shared" si="1"/>
        <v>0</v>
      </c>
      <c r="L17" s="182">
        <v>20000</v>
      </c>
      <c r="M17" s="183"/>
      <c r="N17" s="184">
        <f t="shared" si="2"/>
        <v>0</v>
      </c>
      <c r="O17" s="185">
        <f t="shared" si="3"/>
        <v>67307.692307692312</v>
      </c>
      <c r="P17" s="180"/>
      <c r="Q17" s="186">
        <f t="shared" si="4"/>
        <v>0</v>
      </c>
      <c r="R17" s="187">
        <f t="shared" si="5"/>
        <v>134615.38461538462</v>
      </c>
      <c r="S17" s="183"/>
      <c r="T17" s="188">
        <f t="shared" si="6"/>
        <v>0</v>
      </c>
      <c r="U17" s="189">
        <f t="shared" si="7"/>
        <v>134615.38461538462</v>
      </c>
      <c r="V17" s="180">
        <v>3</v>
      </c>
      <c r="W17" s="181">
        <f t="shared" si="8"/>
        <v>403846.15384615387</v>
      </c>
      <c r="X17" s="199"/>
      <c r="Y17" s="199"/>
      <c r="Z17" s="199"/>
    </row>
    <row r="18" spans="1:26">
      <c r="A18" s="192"/>
      <c r="B18" s="200" t="str">
        <v>MYL202604144</v>
      </c>
      <c r="C18" s="173" t="str">
        <v>MISS PHOSEE KIANGLANOUSIN</v>
      </c>
      <c r="D18" s="199">
        <v>2076861520</v>
      </c>
      <c r="E18" s="194" t="str">
        <v>OFFICE</v>
      </c>
      <c r="F18" s="195" t="str">
        <v>ພາຍໃນປະເທດ</v>
      </c>
      <c r="G18" s="196">
        <v>26</v>
      </c>
      <c r="H18" s="197">
        <v>3500000</v>
      </c>
      <c r="I18" s="198">
        <v>10000</v>
      </c>
      <c r="J18" s="180"/>
      <c r="K18" s="181">
        <f t="shared" si="1"/>
        <v>0</v>
      </c>
      <c r="L18" s="182">
        <v>20000</v>
      </c>
      <c r="M18" s="183"/>
      <c r="N18" s="184">
        <f t="shared" si="2"/>
        <v>0</v>
      </c>
      <c r="O18" s="185">
        <f t="shared" si="3"/>
        <v>67307.692307692312</v>
      </c>
      <c r="P18" s="180"/>
      <c r="Q18" s="186">
        <f t="shared" si="4"/>
        <v>0</v>
      </c>
      <c r="R18" s="187">
        <f t="shared" si="5"/>
        <v>134615.38461538462</v>
      </c>
      <c r="S18" s="183"/>
      <c r="T18" s="188">
        <f t="shared" si="6"/>
        <v>0</v>
      </c>
      <c r="U18" s="189">
        <f t="shared" si="7"/>
        <v>134615.38461538462</v>
      </c>
      <c r="V18" s="180"/>
      <c r="W18" s="181">
        <f t="shared" si="8"/>
        <v>0</v>
      </c>
      <c r="X18" s="199"/>
      <c r="Y18" s="199"/>
      <c r="Z18" s="199"/>
    </row>
    <row r="19" spans="1:26">
      <c r="A19" s="192"/>
      <c r="B19" s="200" t="str">
        <v>MYL201908010</v>
      </c>
      <c r="C19" s="173" t="str">
        <v>MR SAYSAMPHAN  MANEEBOTH</v>
      </c>
      <c r="D19" s="199">
        <v>2097545680</v>
      </c>
      <c r="E19" s="194" t="str">
        <v>Logistic Staff</v>
      </c>
      <c r="F19" s="195" t="str">
        <v>ພາຍໃນປະເທດ</v>
      </c>
      <c r="G19" s="196">
        <v>26</v>
      </c>
      <c r="H19" s="197">
        <v>5000000</v>
      </c>
      <c r="I19" s="198">
        <v>10000</v>
      </c>
      <c r="J19" s="180"/>
      <c r="K19" s="181">
        <f t="shared" si="1"/>
        <v>0</v>
      </c>
      <c r="L19" s="182">
        <v>20000</v>
      </c>
      <c r="M19" s="183"/>
      <c r="N19" s="184">
        <f t="shared" si="2"/>
        <v>0</v>
      </c>
      <c r="O19" s="185">
        <f t="shared" si="3"/>
        <v>96153.846153846156</v>
      </c>
      <c r="P19" s="180"/>
      <c r="Q19" s="186">
        <f t="shared" si="4"/>
        <v>0</v>
      </c>
      <c r="R19" s="187">
        <f t="shared" si="5"/>
        <v>192307.69230769231</v>
      </c>
      <c r="S19" s="183"/>
      <c r="T19" s="188">
        <f t="shared" si="6"/>
        <v>0</v>
      </c>
      <c r="U19" s="189">
        <f t="shared" si="7"/>
        <v>192307.69230769231</v>
      </c>
      <c r="V19" s="180"/>
      <c r="W19" s="181">
        <f t="shared" si="8"/>
        <v>0</v>
      </c>
      <c r="X19" s="199"/>
      <c r="Y19" s="199"/>
      <c r="Z19" s="199"/>
    </row>
    <row r="20" spans="1:26">
      <c r="A20" s="192"/>
      <c r="B20" s="200" t="str">
        <v>MYL202001036</v>
      </c>
      <c r="C20" s="173" t="str">
        <v>MISS JINDA BANPHACHA</v>
      </c>
      <c r="D20" s="199">
        <v>2092416077</v>
      </c>
      <c r="E20" s="194" t="str">
        <v>Audit</v>
      </c>
      <c r="F20" s="195" t="str">
        <v>ພາຍໃນປະເທດ</v>
      </c>
      <c r="G20" s="196">
        <v>26</v>
      </c>
      <c r="H20" s="197">
        <v>10550385</v>
      </c>
      <c r="I20" s="198">
        <v>10000</v>
      </c>
      <c r="J20" s="180"/>
      <c r="K20" s="181">
        <f t="shared" si="1"/>
        <v>0</v>
      </c>
      <c r="L20" s="182">
        <v>20000</v>
      </c>
      <c r="M20" s="183"/>
      <c r="N20" s="184">
        <f t="shared" si="2"/>
        <v>0</v>
      </c>
      <c r="O20" s="185">
        <f t="shared" si="3"/>
        <v>202892.01923076922</v>
      </c>
      <c r="P20" s="180"/>
      <c r="Q20" s="186">
        <f t="shared" si="4"/>
        <v>0</v>
      </c>
      <c r="R20" s="187">
        <f t="shared" si="5"/>
        <v>405784.03846153844</v>
      </c>
      <c r="S20" s="183"/>
      <c r="T20" s="188">
        <f t="shared" si="6"/>
        <v>0</v>
      </c>
      <c r="U20" s="189">
        <f t="shared" si="7"/>
        <v>405784.03846153844</v>
      </c>
      <c r="V20" s="180"/>
      <c r="W20" s="181">
        <f t="shared" si="8"/>
        <v>0</v>
      </c>
      <c r="X20" s="199"/>
      <c r="Y20" s="199"/>
      <c r="Z20" s="199"/>
    </row>
    <row r="21" spans="1:26">
      <c r="A21" s="192"/>
      <c r="B21" s="200" t="str">
        <v>MYL201908016</v>
      </c>
      <c r="C21" s="173" t="str">
        <v>MR AMMALIN</v>
      </c>
      <c r="D21" s="199">
        <v>2023332299</v>
      </c>
      <c r="E21" s="194" t="str">
        <v>Production manager 02</v>
      </c>
      <c r="F21" s="195" t="str">
        <v>ພາຍໃນປະເທດ</v>
      </c>
      <c r="G21" s="196">
        <v>26</v>
      </c>
      <c r="H21" s="197">
        <v>5000000</v>
      </c>
      <c r="I21" s="198">
        <v>10000</v>
      </c>
      <c r="J21" s="180"/>
      <c r="K21" s="181">
        <f t="shared" si="1"/>
        <v>0</v>
      </c>
      <c r="L21" s="182">
        <v>20000</v>
      </c>
      <c r="M21" s="183"/>
      <c r="N21" s="184">
        <f t="shared" si="2"/>
        <v>0</v>
      </c>
      <c r="O21" s="185">
        <f t="shared" si="3"/>
        <v>96153.846153846156</v>
      </c>
      <c r="P21" s="180"/>
      <c r="Q21" s="186">
        <f t="shared" si="4"/>
        <v>0</v>
      </c>
      <c r="R21" s="187">
        <f t="shared" si="5"/>
        <v>192307.69230769231</v>
      </c>
      <c r="S21" s="183"/>
      <c r="T21" s="188">
        <f t="shared" si="6"/>
        <v>0</v>
      </c>
      <c r="U21" s="189">
        <f t="shared" si="7"/>
        <v>192307.69230769231</v>
      </c>
      <c r="V21" s="180"/>
      <c r="W21" s="181">
        <f t="shared" si="8"/>
        <v>0</v>
      </c>
      <c r="X21" s="199"/>
      <c r="Y21" s="199"/>
      <c r="Z21" s="199"/>
    </row>
    <row r="22" spans="1:26">
      <c r="A22" s="192"/>
      <c r="B22" s="200" t="str">
        <v>MYL202001049</v>
      </c>
      <c r="C22" s="173" t="str">
        <v>MR BOUNPON</v>
      </c>
      <c r="D22" s="199">
        <v>2078916853</v>
      </c>
      <c r="E22" s="194" t="str">
        <v>Production manager 02</v>
      </c>
      <c r="F22" s="195" t="str">
        <v>ພາຍໃນປະເທດ</v>
      </c>
      <c r="G22" s="196">
        <v>26</v>
      </c>
      <c r="H22" s="197">
        <v>4000000</v>
      </c>
      <c r="I22" s="198">
        <v>10000</v>
      </c>
      <c r="J22" s="180"/>
      <c r="K22" s="181">
        <f t="shared" si="1"/>
        <v>0</v>
      </c>
      <c r="L22" s="182">
        <v>20000</v>
      </c>
      <c r="M22" s="183"/>
      <c r="N22" s="184">
        <f t="shared" si="2"/>
        <v>0</v>
      </c>
      <c r="O22" s="185">
        <f t="shared" si="3"/>
        <v>76923.076923076922</v>
      </c>
      <c r="P22" s="180"/>
      <c r="Q22" s="186">
        <f t="shared" si="4"/>
        <v>0</v>
      </c>
      <c r="R22" s="187">
        <f t="shared" si="5"/>
        <v>153846.15384615384</v>
      </c>
      <c r="S22" s="183"/>
      <c r="T22" s="188">
        <f t="shared" si="6"/>
        <v>0</v>
      </c>
      <c r="U22" s="189">
        <f t="shared" si="7"/>
        <v>153846.15384615384</v>
      </c>
      <c r="V22" s="180"/>
      <c r="W22" s="181">
        <f t="shared" si="8"/>
        <v>0</v>
      </c>
      <c r="X22" s="199"/>
      <c r="Y22" s="199"/>
      <c r="Z22" s="199"/>
    </row>
    <row r="23" spans="1:26">
      <c r="A23" s="192"/>
      <c r="B23" s="200" t="str">
        <v>MYL000009</v>
      </c>
      <c r="C23" s="173" t="str">
        <v>MR SONE</v>
      </c>
      <c r="D23" s="199">
        <v>0</v>
      </c>
      <c r="E23" s="194" t="str">
        <v>Security Staff</v>
      </c>
      <c r="F23" s="195" t="str">
        <v>ພາຍໃນປະເທດ</v>
      </c>
      <c r="G23" s="196">
        <v>26</v>
      </c>
      <c r="H23" s="197">
        <v>10550385</v>
      </c>
      <c r="I23" s="198">
        <v>10000</v>
      </c>
      <c r="J23" s="180"/>
      <c r="K23" s="181">
        <f t="shared" si="1"/>
        <v>0</v>
      </c>
      <c r="L23" s="182">
        <v>20000</v>
      </c>
      <c r="M23" s="183"/>
      <c r="N23" s="184">
        <f t="shared" si="2"/>
        <v>0</v>
      </c>
      <c r="O23" s="185">
        <f t="shared" si="3"/>
        <v>202892.01923076922</v>
      </c>
      <c r="P23" s="180"/>
      <c r="Q23" s="186">
        <f t="shared" si="4"/>
        <v>0</v>
      </c>
      <c r="R23" s="187">
        <f t="shared" si="5"/>
        <v>405784.03846153844</v>
      </c>
      <c r="S23" s="183"/>
      <c r="T23" s="188">
        <f t="shared" si="6"/>
        <v>0</v>
      </c>
      <c r="U23" s="189">
        <f t="shared" si="7"/>
        <v>405784.03846153844</v>
      </c>
      <c r="V23" s="180"/>
      <c r="W23" s="181">
        <f t="shared" si="8"/>
        <v>0</v>
      </c>
      <c r="X23" s="199"/>
      <c r="Y23" s="199"/>
      <c r="Z23" s="199"/>
    </row>
    <row r="24" spans="1:26">
      <c r="A24" s="192"/>
      <c r="B24" s="200" t="str">
        <v>MYL202401027</v>
      </c>
      <c r="C24" s="173" t="str">
        <v>MRS NIK CHANTHANET</v>
      </c>
      <c r="D24" s="199">
        <v>2056339678</v>
      </c>
      <c r="E24" s="194" t="str">
        <v>Maid Staff</v>
      </c>
      <c r="F24" s="195" t="str">
        <v>ພາຍໃນປະເທດ</v>
      </c>
      <c r="G24" s="196">
        <v>26</v>
      </c>
      <c r="H24" s="197">
        <v>2702000</v>
      </c>
      <c r="I24" s="198">
        <v>10000</v>
      </c>
      <c r="J24" s="180"/>
      <c r="K24" s="181">
        <f t="shared" si="1"/>
        <v>0</v>
      </c>
      <c r="L24" s="182">
        <v>20000</v>
      </c>
      <c r="M24" s="183"/>
      <c r="N24" s="184">
        <f t="shared" si="2"/>
        <v>0</v>
      </c>
      <c r="O24" s="185">
        <f t="shared" si="3"/>
        <v>51961.538461538461</v>
      </c>
      <c r="P24" s="180"/>
      <c r="Q24" s="186">
        <f t="shared" si="4"/>
        <v>0</v>
      </c>
      <c r="R24" s="187">
        <f t="shared" si="5"/>
        <v>103923.07692307692</v>
      </c>
      <c r="S24" s="183"/>
      <c r="T24" s="188">
        <f t="shared" si="6"/>
        <v>0</v>
      </c>
      <c r="U24" s="189">
        <f t="shared" si="7"/>
        <v>103923.07692307692</v>
      </c>
      <c r="V24" s="180"/>
      <c r="W24" s="181">
        <f t="shared" si="8"/>
        <v>0</v>
      </c>
      <c r="X24" s="199"/>
      <c r="Y24" s="199"/>
      <c r="Z24" s="199"/>
    </row>
    <row r="25" spans="1:26">
      <c r="A25" s="192"/>
      <c r="B25" s="200" t="str">
        <v>MYL201908028</v>
      </c>
      <c r="C25" s="173" t="str">
        <v>MR TERY KHAMKOUNA</v>
      </c>
      <c r="D25" s="199" t="str">
        <v>02059103026</v>
      </c>
      <c r="E25" s="194" t="str">
        <v>Engineering</v>
      </c>
      <c r="F25" s="195" t="str">
        <v>ພາຍໃນປະເທດ</v>
      </c>
      <c r="G25" s="196">
        <v>26</v>
      </c>
      <c r="H25" s="197">
        <v>5000000</v>
      </c>
      <c r="I25" s="198">
        <v>10000</v>
      </c>
      <c r="J25" s="180">
        <v>9</v>
      </c>
      <c r="K25" s="181">
        <f t="shared" si="1"/>
        <v>90000</v>
      </c>
      <c r="L25" s="182">
        <v>20000</v>
      </c>
      <c r="M25" s="183"/>
      <c r="N25" s="184">
        <f t="shared" si="2"/>
        <v>0</v>
      </c>
      <c r="O25" s="185">
        <f t="shared" si="3"/>
        <v>96153.846153846156</v>
      </c>
      <c r="P25" s="180"/>
      <c r="Q25" s="186">
        <f t="shared" si="4"/>
        <v>0</v>
      </c>
      <c r="R25" s="187">
        <f t="shared" si="5"/>
        <v>192307.69230769231</v>
      </c>
      <c r="S25" s="183">
        <v>1</v>
      </c>
      <c r="T25" s="188">
        <f t="shared" si="6"/>
        <v>192307.69230769231</v>
      </c>
      <c r="U25" s="189">
        <f t="shared" si="7"/>
        <v>192307.69230769231</v>
      </c>
      <c r="V25" s="180"/>
      <c r="W25" s="181">
        <f t="shared" si="8"/>
        <v>0</v>
      </c>
      <c r="X25" s="199"/>
      <c r="Y25" s="199"/>
      <c r="Z25" s="199"/>
    </row>
    <row r="26" spans="1:26">
      <c r="A26" s="192"/>
      <c r="B26" s="200" t="str">
        <v>MYL202507076</v>
      </c>
      <c r="C26" s="173" t="str">
        <v>MR XAYSONGKHAM SOMSANITH</v>
      </c>
      <c r="D26" s="199">
        <v>2056211706</v>
      </c>
      <c r="E26" s="194" t="str">
        <v>Engineering</v>
      </c>
      <c r="F26" s="195" t="str">
        <v>ພາຍໃນປະເທດ</v>
      </c>
      <c r="G26" s="196">
        <v>26</v>
      </c>
      <c r="H26" s="197">
        <v>4500000</v>
      </c>
      <c r="I26" s="198">
        <v>10000</v>
      </c>
      <c r="J26" s="180">
        <v>5</v>
      </c>
      <c r="K26" s="181">
        <f t="shared" si="1"/>
        <v>50000</v>
      </c>
      <c r="L26" s="182">
        <v>20000</v>
      </c>
      <c r="M26" s="183"/>
      <c r="N26" s="184">
        <f t="shared" si="2"/>
        <v>0</v>
      </c>
      <c r="O26" s="185">
        <f t="shared" si="3"/>
        <v>86538.461538461532</v>
      </c>
      <c r="P26" s="180"/>
      <c r="Q26" s="186">
        <f t="shared" si="4"/>
        <v>0</v>
      </c>
      <c r="R26" s="187">
        <f t="shared" si="5"/>
        <v>173076.92307692306</v>
      </c>
      <c r="S26" s="183"/>
      <c r="T26" s="188">
        <f t="shared" si="6"/>
        <v>0</v>
      </c>
      <c r="U26" s="189">
        <f t="shared" si="7"/>
        <v>173076.92307692306</v>
      </c>
      <c r="V26" s="180"/>
      <c r="W26" s="181">
        <f t="shared" si="8"/>
        <v>0</v>
      </c>
      <c r="X26" s="199"/>
      <c r="Y26" s="199"/>
      <c r="Z26" s="199"/>
    </row>
    <row r="27" spans="1:26">
      <c r="A27" s="192"/>
      <c r="B27" s="200" t="str">
        <v>MYL201908026</v>
      </c>
      <c r="C27" s="173" t="str">
        <v>MR SONGKAN PHACHANSITTHI</v>
      </c>
      <c r="D27" s="199">
        <v>2054612045</v>
      </c>
      <c r="E27" s="194" t="str">
        <v>QC Manager 02</v>
      </c>
      <c r="F27" s="195" t="str">
        <v>ພາຍໃນປະເທດ</v>
      </c>
      <c r="G27" s="196">
        <v>26</v>
      </c>
      <c r="H27" s="197">
        <v>4000000</v>
      </c>
      <c r="I27" s="198">
        <v>10000</v>
      </c>
      <c r="J27" s="180"/>
      <c r="K27" s="181">
        <f t="shared" si="1"/>
        <v>0</v>
      </c>
      <c r="L27" s="182">
        <v>20000</v>
      </c>
      <c r="M27" s="183"/>
      <c r="N27" s="184">
        <f t="shared" si="2"/>
        <v>0</v>
      </c>
      <c r="O27" s="185">
        <f t="shared" si="3"/>
        <v>76923.076923076922</v>
      </c>
      <c r="P27" s="180"/>
      <c r="Q27" s="186">
        <f t="shared" si="4"/>
        <v>0</v>
      </c>
      <c r="R27" s="187">
        <f t="shared" si="5"/>
        <v>153846.15384615384</v>
      </c>
      <c r="S27" s="183"/>
      <c r="T27" s="188">
        <f t="shared" si="6"/>
        <v>0</v>
      </c>
      <c r="U27" s="189">
        <f t="shared" si="7"/>
        <v>153846.15384615384</v>
      </c>
      <c r="V27" s="180"/>
      <c r="W27" s="181">
        <f t="shared" si="8"/>
        <v>0</v>
      </c>
      <c r="X27" s="199"/>
      <c r="Y27" s="199"/>
      <c r="Z27" s="199"/>
    </row>
    <row r="28" spans="1:26">
      <c r="A28" s="192"/>
      <c r="B28" s="200" t="str">
        <v>MYL202504064</v>
      </c>
      <c r="C28" s="173" t="str">
        <v>MISS NALIN SYHALATH</v>
      </c>
      <c r="D28" s="199">
        <v>2098953256</v>
      </c>
      <c r="E28" s="194" t="str">
        <v>QC PTS</v>
      </c>
      <c r="F28" s="195" t="str">
        <v>ພາຍໃນປະເທດ</v>
      </c>
      <c r="G28" s="196">
        <v>26</v>
      </c>
      <c r="H28" s="197">
        <v>2600000</v>
      </c>
      <c r="I28" s="198">
        <v>10000</v>
      </c>
      <c r="J28" s="180"/>
      <c r="K28" s="181">
        <f t="shared" si="1"/>
        <v>0</v>
      </c>
      <c r="L28" s="182">
        <v>20000</v>
      </c>
      <c r="M28" s="183">
        <v>1</v>
      </c>
      <c r="N28" s="184">
        <f t="shared" si="2"/>
        <v>20000</v>
      </c>
      <c r="O28" s="185">
        <f t="shared" si="3"/>
        <v>50000</v>
      </c>
      <c r="P28" s="180"/>
      <c r="Q28" s="186">
        <f t="shared" si="4"/>
        <v>0</v>
      </c>
      <c r="R28" s="187">
        <f t="shared" si="5"/>
        <v>100000</v>
      </c>
      <c r="S28" s="183">
        <v>2</v>
      </c>
      <c r="T28" s="188">
        <f t="shared" si="6"/>
        <v>200000</v>
      </c>
      <c r="U28" s="189">
        <f t="shared" si="7"/>
        <v>100000</v>
      </c>
      <c r="V28" s="180"/>
      <c r="W28" s="181">
        <f t="shared" si="8"/>
        <v>0</v>
      </c>
      <c r="X28" s="199"/>
      <c r="Y28" s="199"/>
      <c r="Z28" s="199"/>
    </row>
    <row r="29" spans="1:26">
      <c r="A29" s="192"/>
      <c r="B29" s="200" t="str">
        <v>MYL202606160</v>
      </c>
      <c r="C29" s="173" t="str">
        <v>MISS LAMPHAI THUMMAVONGE</v>
      </c>
      <c r="D29" s="199">
        <v>2091381527</v>
      </c>
      <c r="E29" s="194" t="str">
        <v>QC SAS</v>
      </c>
      <c r="F29" s="195" t="str">
        <v>ພາຍໃນປະເທດ</v>
      </c>
      <c r="G29" s="196">
        <v>26</v>
      </c>
      <c r="H29" s="197">
        <v>2500000</v>
      </c>
      <c r="I29" s="198">
        <v>10000</v>
      </c>
      <c r="J29" s="180">
        <v>1</v>
      </c>
      <c r="K29" s="181">
        <f t="shared" si="1"/>
        <v>10000</v>
      </c>
      <c r="L29" s="182">
        <v>20000</v>
      </c>
      <c r="M29" s="183"/>
      <c r="N29" s="184">
        <f t="shared" si="2"/>
        <v>0</v>
      </c>
      <c r="O29" s="185">
        <f t="shared" si="3"/>
        <v>48076.923076923078</v>
      </c>
      <c r="P29" s="180"/>
      <c r="Q29" s="186">
        <f t="shared" si="4"/>
        <v>0</v>
      </c>
      <c r="R29" s="187">
        <f t="shared" si="5"/>
        <v>96153.846153846156</v>
      </c>
      <c r="S29" s="183">
        <v>2</v>
      </c>
      <c r="T29" s="188">
        <f t="shared" si="6"/>
        <v>192307.69230769231</v>
      </c>
      <c r="U29" s="189">
        <f t="shared" si="7"/>
        <v>96153.846153846156</v>
      </c>
      <c r="V29" s="180">
        <v>14</v>
      </c>
      <c r="W29" s="181">
        <f t="shared" si="8"/>
        <v>1346153.8461538462</v>
      </c>
      <c r="X29" s="199"/>
      <c r="Y29" s="199"/>
      <c r="Z29" s="199"/>
    </row>
    <row r="30" spans="1:26">
      <c r="A30" s="192"/>
      <c r="B30" s="200" t="str">
        <v>MYL202301037</v>
      </c>
      <c r="C30" s="173" t="str">
        <v>MRS PHOULATSAMY SETTHATHILATH</v>
      </c>
      <c r="D30" s="199">
        <v>2077074510</v>
      </c>
      <c r="E30" s="194" t="str">
        <v>STORE PTS</v>
      </c>
      <c r="F30" s="195" t="str">
        <v>ພາຍໃນປະເທດ</v>
      </c>
      <c r="G30" s="196">
        <v>26</v>
      </c>
      <c r="H30" s="197">
        <v>3300000</v>
      </c>
      <c r="I30" s="198">
        <v>10000</v>
      </c>
      <c r="J30" s="180"/>
      <c r="K30" s="181">
        <f t="shared" si="1"/>
        <v>0</v>
      </c>
      <c r="L30" s="182">
        <v>20000</v>
      </c>
      <c r="M30" s="183"/>
      <c r="N30" s="184">
        <f t="shared" si="2"/>
        <v>0</v>
      </c>
      <c r="O30" s="185">
        <f t="shared" si="3"/>
        <v>63461.538461538461</v>
      </c>
      <c r="P30" s="180"/>
      <c r="Q30" s="186">
        <f t="shared" si="4"/>
        <v>0</v>
      </c>
      <c r="R30" s="187">
        <f t="shared" si="5"/>
        <v>126923.07692307692</v>
      </c>
      <c r="S30" s="183"/>
      <c r="T30" s="188">
        <f t="shared" si="6"/>
        <v>0</v>
      </c>
      <c r="U30" s="189">
        <f t="shared" si="7"/>
        <v>126923.07692307692</v>
      </c>
      <c r="V30" s="180"/>
      <c r="W30" s="181">
        <f t="shared" si="8"/>
        <v>0</v>
      </c>
      <c r="X30" s="199"/>
      <c r="Y30" s="199"/>
      <c r="Z30" s="199"/>
    </row>
    <row r="31" spans="1:26">
      <c r="A31" s="192"/>
      <c r="B31" s="200" t="str">
        <v>MYT202602133</v>
      </c>
      <c r="C31" s="173" t="str">
        <v>MR BOUNTHAVY KOMKAIYASONE</v>
      </c>
      <c r="D31" s="199">
        <v>2097221714</v>
      </c>
      <c r="E31" s="194" t="str">
        <v>STORE PTS</v>
      </c>
      <c r="F31" s="195" t="str">
        <v>ພາຍໃນປະເທດ</v>
      </c>
      <c r="G31" s="196">
        <v>26</v>
      </c>
      <c r="H31" s="197">
        <v>2600000</v>
      </c>
      <c r="I31" s="198">
        <v>10000</v>
      </c>
      <c r="J31" s="180"/>
      <c r="K31" s="181">
        <f t="shared" si="1"/>
        <v>0</v>
      </c>
      <c r="L31" s="182">
        <v>20000</v>
      </c>
      <c r="M31" s="183"/>
      <c r="N31" s="184">
        <f t="shared" si="2"/>
        <v>0</v>
      </c>
      <c r="O31" s="185">
        <f t="shared" si="3"/>
        <v>50000</v>
      </c>
      <c r="P31" s="180"/>
      <c r="Q31" s="186">
        <f t="shared" si="4"/>
        <v>0</v>
      </c>
      <c r="R31" s="187">
        <f t="shared" si="5"/>
        <v>100000</v>
      </c>
      <c r="S31" s="183">
        <v>2</v>
      </c>
      <c r="T31" s="188">
        <f t="shared" si="6"/>
        <v>200000</v>
      </c>
      <c r="U31" s="189">
        <f t="shared" si="7"/>
        <v>100000</v>
      </c>
      <c r="V31" s="180"/>
      <c r="W31" s="181">
        <f t="shared" si="8"/>
        <v>0</v>
      </c>
      <c r="X31" s="199"/>
      <c r="Y31" s="199"/>
      <c r="Z31" s="199"/>
    </row>
    <row r="32" spans="1:26">
      <c r="A32" s="192"/>
      <c r="B32" s="200" t="str">
        <v>MYL202404006</v>
      </c>
      <c r="C32" s="173" t="str">
        <v>MR SENGMANY PHATTHANA</v>
      </c>
      <c r="D32" s="199">
        <v>2059597282</v>
      </c>
      <c r="E32" s="194" t="str">
        <v>STORE OTS</v>
      </c>
      <c r="F32" s="195" t="str">
        <v>ພາຍໃນປະເທດ</v>
      </c>
      <c r="G32" s="196">
        <v>26</v>
      </c>
      <c r="H32" s="197">
        <v>3300000</v>
      </c>
      <c r="I32" s="198">
        <v>10000</v>
      </c>
      <c r="J32" s="180"/>
      <c r="K32" s="181">
        <f t="shared" si="1"/>
        <v>0</v>
      </c>
      <c r="L32" s="182">
        <v>20000</v>
      </c>
      <c r="M32" s="183"/>
      <c r="N32" s="184">
        <f t="shared" si="2"/>
        <v>0</v>
      </c>
      <c r="O32" s="185">
        <f t="shared" si="3"/>
        <v>63461.538461538461</v>
      </c>
      <c r="P32" s="180"/>
      <c r="Q32" s="186">
        <f t="shared" si="4"/>
        <v>0</v>
      </c>
      <c r="R32" s="187">
        <f t="shared" si="5"/>
        <v>126923.07692307692</v>
      </c>
      <c r="S32" s="183">
        <v>4</v>
      </c>
      <c r="T32" s="188">
        <f t="shared" si="6"/>
        <v>507692.30769230769</v>
      </c>
      <c r="U32" s="189">
        <f t="shared" si="7"/>
        <v>126923.07692307692</v>
      </c>
      <c r="V32" s="180"/>
      <c r="W32" s="181">
        <f t="shared" si="8"/>
        <v>0</v>
      </c>
      <c r="X32" s="199"/>
      <c r="Y32" s="199"/>
      <c r="Z32" s="199"/>
    </row>
    <row r="33" spans="1:26">
      <c r="A33" s="192"/>
      <c r="B33" s="200" t="str">
        <v>MYL202601128</v>
      </c>
      <c r="C33" s="173" t="str">
        <v>MR KHAMPHASITH XAYYAJACK</v>
      </c>
      <c r="D33" s="199">
        <v>2077412771</v>
      </c>
      <c r="E33" s="194" t="str">
        <v>STORE OTS</v>
      </c>
      <c r="F33" s="195" t="str">
        <v>ພາຍໃນປະເທດ</v>
      </c>
      <c r="G33" s="196">
        <v>26</v>
      </c>
      <c r="H33" s="197">
        <v>2600000</v>
      </c>
      <c r="I33" s="198">
        <v>10000</v>
      </c>
      <c r="J33" s="180"/>
      <c r="K33" s="181">
        <f t="shared" si="1"/>
        <v>0</v>
      </c>
      <c r="L33" s="182">
        <v>20000</v>
      </c>
      <c r="M33" s="183"/>
      <c r="N33" s="184">
        <f t="shared" si="2"/>
        <v>0</v>
      </c>
      <c r="O33" s="185">
        <f t="shared" si="3"/>
        <v>50000</v>
      </c>
      <c r="P33" s="180"/>
      <c r="Q33" s="186">
        <f t="shared" si="4"/>
        <v>0</v>
      </c>
      <c r="R33" s="187">
        <f t="shared" si="5"/>
        <v>100000</v>
      </c>
      <c r="S33" s="183"/>
      <c r="T33" s="188">
        <f t="shared" si="6"/>
        <v>0</v>
      </c>
      <c r="U33" s="189">
        <f t="shared" si="7"/>
        <v>100000</v>
      </c>
      <c r="V33" s="180">
        <v>12</v>
      </c>
      <c r="W33" s="181">
        <f t="shared" si="8"/>
        <v>1200000</v>
      </c>
      <c r="X33" s="199"/>
      <c r="Y33" s="199"/>
      <c r="Z33" s="199"/>
    </row>
    <row r="34" spans="1:26">
      <c r="A34" s="192"/>
      <c r="B34" s="200" t="str">
        <v>MYL202606162</v>
      </c>
      <c r="C34" s="173" t="str">
        <v>MISS KHONESAVANH CHANTHALAY</v>
      </c>
      <c r="D34" s="199">
        <v>2096532048</v>
      </c>
      <c r="E34" s="194" t="str">
        <v>STORE OTS</v>
      </c>
      <c r="F34" s="195" t="str">
        <v>ພາຍໃນປະເທດ</v>
      </c>
      <c r="G34" s="196">
        <v>26</v>
      </c>
      <c r="H34" s="197">
        <v>2500000</v>
      </c>
      <c r="I34" s="198">
        <v>10000</v>
      </c>
      <c r="J34" s="180"/>
      <c r="K34" s="181">
        <f t="shared" si="1"/>
        <v>0</v>
      </c>
      <c r="L34" s="182">
        <v>20000</v>
      </c>
      <c r="M34" s="183"/>
      <c r="N34" s="184">
        <f t="shared" si="2"/>
        <v>0</v>
      </c>
      <c r="O34" s="185">
        <f t="shared" si="3"/>
        <v>48076.923076923078</v>
      </c>
      <c r="P34" s="180"/>
      <c r="Q34" s="186">
        <f t="shared" si="4"/>
        <v>0</v>
      </c>
      <c r="R34" s="187">
        <f t="shared" si="5"/>
        <v>96153.846153846156</v>
      </c>
      <c r="S34" s="183"/>
      <c r="T34" s="188">
        <f t="shared" si="6"/>
        <v>0</v>
      </c>
      <c r="U34" s="189">
        <f t="shared" si="7"/>
        <v>96153.846153846156</v>
      </c>
      <c r="V34" s="180">
        <v>14</v>
      </c>
      <c r="W34" s="181">
        <f t="shared" si="8"/>
        <v>1346153.8461538462</v>
      </c>
      <c r="X34" s="199"/>
      <c r="Y34" s="199"/>
      <c r="Z34" s="199"/>
    </row>
    <row r="35" spans="1:26">
      <c r="A35" s="192"/>
      <c r="B35" s="200" t="str">
        <v>MYL202001035</v>
      </c>
      <c r="C35" s="173" t="str">
        <v>MRS TOUKTA  PONGSIMMALY</v>
      </c>
      <c r="D35" s="199">
        <v>2057706864</v>
      </c>
      <c r="E35" s="194" t="str">
        <v>STORE SAS</v>
      </c>
      <c r="F35" s="195" t="str">
        <v>ພາຍໃນປະເທດ</v>
      </c>
      <c r="G35" s="196">
        <v>26</v>
      </c>
      <c r="H35" s="197">
        <v>3300000</v>
      </c>
      <c r="I35" s="198">
        <v>10000</v>
      </c>
      <c r="J35" s="180"/>
      <c r="K35" s="181">
        <f t="shared" si="1"/>
        <v>0</v>
      </c>
      <c r="L35" s="182">
        <v>20000</v>
      </c>
      <c r="M35" s="183"/>
      <c r="N35" s="184">
        <f t="shared" si="2"/>
        <v>0</v>
      </c>
      <c r="O35" s="185">
        <f t="shared" si="3"/>
        <v>63461.538461538461</v>
      </c>
      <c r="P35" s="180"/>
      <c r="Q35" s="186">
        <f t="shared" si="4"/>
        <v>0</v>
      </c>
      <c r="R35" s="187">
        <f t="shared" si="5"/>
        <v>126923.07692307692</v>
      </c>
      <c r="S35" s="183"/>
      <c r="T35" s="188">
        <f t="shared" si="6"/>
        <v>0</v>
      </c>
      <c r="U35" s="189">
        <f t="shared" si="7"/>
        <v>126923.07692307692</v>
      </c>
      <c r="V35" s="180"/>
      <c r="W35" s="181">
        <f t="shared" si="8"/>
        <v>0</v>
      </c>
      <c r="X35" s="199"/>
      <c r="Y35" s="199"/>
      <c r="Z35" s="199"/>
    </row>
    <row r="36" spans="1:26">
      <c r="A36" s="192"/>
      <c r="B36" s="200" t="str">
        <v>MYL202605151</v>
      </c>
      <c r="C36" s="173" t="str">
        <v>MR SOULIYA</v>
      </c>
      <c r="D36" s="199">
        <v>2099427578</v>
      </c>
      <c r="E36" s="194" t="str">
        <v>STORE SAS</v>
      </c>
      <c r="F36" s="195" t="str">
        <v>ພາຍໃນປະເທດ</v>
      </c>
      <c r="G36" s="196">
        <v>26</v>
      </c>
      <c r="H36" s="197">
        <v>2600000</v>
      </c>
      <c r="I36" s="198">
        <v>10000</v>
      </c>
      <c r="J36" s="180">
        <v>5</v>
      </c>
      <c r="K36" s="181">
        <f t="shared" si="1"/>
        <v>50000</v>
      </c>
      <c r="L36" s="182">
        <v>20000</v>
      </c>
      <c r="M36" s="183"/>
      <c r="N36" s="184">
        <f t="shared" si="2"/>
        <v>0</v>
      </c>
      <c r="O36" s="185">
        <f t="shared" si="3"/>
        <v>50000</v>
      </c>
      <c r="P36" s="180"/>
      <c r="Q36" s="186">
        <f t="shared" si="4"/>
        <v>0</v>
      </c>
      <c r="R36" s="187">
        <f t="shared" si="5"/>
        <v>100000</v>
      </c>
      <c r="S36" s="183">
        <v>2</v>
      </c>
      <c r="T36" s="188">
        <f t="shared" si="6"/>
        <v>200000</v>
      </c>
      <c r="U36" s="189">
        <f t="shared" si="7"/>
        <v>100000</v>
      </c>
      <c r="V36" s="180">
        <v>17</v>
      </c>
      <c r="W36" s="181">
        <f t="shared" si="8"/>
        <v>1700000</v>
      </c>
      <c r="X36" s="199"/>
      <c r="Y36" s="199"/>
      <c r="Z36" s="199"/>
    </row>
    <row r="37" spans="1:26">
      <c r="A37" s="192"/>
      <c r="B37" s="200" t="str">
        <v>MYL202201050</v>
      </c>
      <c r="C37" s="173" t="str">
        <v>MR TOUTONNAM KHOUNSAVANH</v>
      </c>
      <c r="D37" s="193">
        <v>2093949318</v>
      </c>
      <c r="E37" s="194" t="str">
        <v>Welding  PTS</v>
      </c>
      <c r="F37" s="195" t="str">
        <v>ພາຍໃນປະເທດ</v>
      </c>
      <c r="G37" s="196">
        <v>26</v>
      </c>
      <c r="H37" s="197">
        <v>3300000</v>
      </c>
      <c r="I37" s="198">
        <v>10000</v>
      </c>
      <c r="J37" s="180">
        <v>1</v>
      </c>
      <c r="K37" s="181">
        <f t="shared" si="1"/>
        <v>10000</v>
      </c>
      <c r="L37" s="182">
        <v>20000</v>
      </c>
      <c r="M37" s="183"/>
      <c r="N37" s="184">
        <f t="shared" si="2"/>
        <v>0</v>
      </c>
      <c r="O37" s="185">
        <f t="shared" si="3"/>
        <v>63461.538461538461</v>
      </c>
      <c r="P37" s="180"/>
      <c r="Q37" s="186">
        <f t="shared" si="4"/>
        <v>0</v>
      </c>
      <c r="R37" s="187">
        <f t="shared" si="5"/>
        <v>126923.07692307692</v>
      </c>
      <c r="S37" s="183"/>
      <c r="T37" s="188">
        <f t="shared" si="6"/>
        <v>0</v>
      </c>
      <c r="U37" s="189">
        <f t="shared" si="7"/>
        <v>126923.07692307692</v>
      </c>
      <c r="V37" s="180"/>
      <c r="W37" s="181">
        <f t="shared" si="8"/>
        <v>0</v>
      </c>
      <c r="X37" s="199"/>
      <c r="Y37" s="199"/>
      <c r="Z37" s="199"/>
    </row>
    <row r="38" spans="1:26">
      <c r="A38" s="192"/>
      <c r="B38" s="200" t="str">
        <v>MYL202502061</v>
      </c>
      <c r="C38" s="173" t="str">
        <v>MR KHONESAVANH SYTHAVONG</v>
      </c>
      <c r="D38" s="193">
        <v>2096870409</v>
      </c>
      <c r="E38" s="194" t="str">
        <v>Welding  PTS</v>
      </c>
      <c r="F38" s="195" t="str">
        <v>ພາຍໃນປະເທດ</v>
      </c>
      <c r="G38" s="196">
        <v>26</v>
      </c>
      <c r="H38" s="197">
        <v>2600000</v>
      </c>
      <c r="I38" s="198">
        <v>10000</v>
      </c>
      <c r="J38" s="180"/>
      <c r="K38" s="181">
        <f t="shared" si="1"/>
        <v>0</v>
      </c>
      <c r="L38" s="182">
        <v>20000</v>
      </c>
      <c r="M38" s="183"/>
      <c r="N38" s="184">
        <f t="shared" si="2"/>
        <v>0</v>
      </c>
      <c r="O38" s="185">
        <f t="shared" si="3"/>
        <v>50000</v>
      </c>
      <c r="P38" s="180">
        <v>1</v>
      </c>
      <c r="Q38" s="186">
        <f t="shared" si="4"/>
        <v>50000</v>
      </c>
      <c r="R38" s="187">
        <f t="shared" si="5"/>
        <v>100000</v>
      </c>
      <c r="S38" s="183">
        <v>4.5</v>
      </c>
      <c r="T38" s="188">
        <f t="shared" si="6"/>
        <v>450000</v>
      </c>
      <c r="U38" s="189">
        <f t="shared" si="7"/>
        <v>100000</v>
      </c>
      <c r="V38" s="180">
        <v>4</v>
      </c>
      <c r="W38" s="181">
        <f t="shared" si="8"/>
        <v>400000</v>
      </c>
      <c r="X38" s="199"/>
      <c r="Y38" s="199"/>
      <c r="Z38" s="199"/>
    </row>
    <row r="39" spans="1:26">
      <c r="A39" s="192"/>
      <c r="B39" s="200" t="str">
        <v>MYL202504072</v>
      </c>
      <c r="C39" s="173" t="str">
        <v>MR BACKHAM XAISONGKHAM</v>
      </c>
      <c r="D39" s="193">
        <v>2093768539</v>
      </c>
      <c r="E39" s="194" t="str">
        <v>Welding  PTS</v>
      </c>
      <c r="F39" s="195" t="str">
        <v>ພາຍໃນປະເທດ</v>
      </c>
      <c r="G39" s="196">
        <v>26</v>
      </c>
      <c r="H39" s="197">
        <v>2600000</v>
      </c>
      <c r="I39" s="198">
        <v>10000</v>
      </c>
      <c r="J39" s="180"/>
      <c r="K39" s="181">
        <f t="shared" si="1"/>
        <v>0</v>
      </c>
      <c r="L39" s="182">
        <v>20000</v>
      </c>
      <c r="M39" s="183"/>
      <c r="N39" s="184">
        <f t="shared" si="2"/>
        <v>0</v>
      </c>
      <c r="O39" s="185">
        <f t="shared" si="3"/>
        <v>50000</v>
      </c>
      <c r="P39" s="180"/>
      <c r="Q39" s="186">
        <f t="shared" si="4"/>
        <v>0</v>
      </c>
      <c r="R39" s="187">
        <f t="shared" si="5"/>
        <v>100000</v>
      </c>
      <c r="S39" s="183"/>
      <c r="T39" s="188">
        <f t="shared" si="6"/>
        <v>0</v>
      </c>
      <c r="U39" s="189">
        <f t="shared" si="7"/>
        <v>100000</v>
      </c>
      <c r="V39" s="180"/>
      <c r="W39" s="181">
        <f t="shared" si="8"/>
        <v>0</v>
      </c>
      <c r="X39" s="199"/>
      <c r="Y39" s="199"/>
      <c r="Z39" s="199"/>
    </row>
    <row r="40" spans="1:26">
      <c r="A40" s="201"/>
      <c r="B40" s="202" t="str">
        <v>MYL202509108</v>
      </c>
      <c r="C40" s="133" t="str">
        <v>MR SEEVA  PONGSIMMALY</v>
      </c>
      <c r="D40" s="203">
        <v>2056238018</v>
      </c>
      <c r="E40" s="204" t="str">
        <v>Welding  PTS</v>
      </c>
      <c r="F40" s="205" t="str">
        <v>ພາຍໃນປະເທດ</v>
      </c>
      <c r="G40" s="206">
        <v>26</v>
      </c>
      <c r="H40" s="207">
        <v>2600000</v>
      </c>
      <c r="I40" s="208">
        <v>10000</v>
      </c>
      <c r="J40" s="180"/>
      <c r="K40" s="181">
        <f t="shared" ref="K40:K71" si="9">I40*J40</f>
        <v>0</v>
      </c>
      <c r="L40" s="209">
        <v>20000</v>
      </c>
      <c r="M40" s="183"/>
      <c r="N40" s="184">
        <f t="shared" ref="N40:N71" si="10">L40*M40</f>
        <v>0</v>
      </c>
      <c r="O40" s="185">
        <f t="shared" ref="O40:O71" si="11">H40/G40/2</f>
        <v>50000</v>
      </c>
      <c r="P40" s="180"/>
      <c r="Q40" s="186">
        <f t="shared" ref="Q40:Q71" si="12">O40*P40</f>
        <v>0</v>
      </c>
      <c r="R40" s="187">
        <f t="shared" ref="R40:R71" si="13">H40/G40</f>
        <v>100000</v>
      </c>
      <c r="S40" s="183"/>
      <c r="T40" s="188">
        <f t="shared" ref="T40:T71" si="14">R40*S40</f>
        <v>0</v>
      </c>
      <c r="U40" s="189">
        <f t="shared" ref="U40:U71" si="15">H40/G40</f>
        <v>100000</v>
      </c>
      <c r="V40" s="180"/>
      <c r="W40" s="181">
        <f t="shared" ref="W40:W71" si="16">U40*V40</f>
        <v>0</v>
      </c>
      <c r="X40" s="210"/>
      <c r="Y40" s="210"/>
      <c r="Z40" s="210"/>
    </row>
    <row r="41" spans="1:26">
      <c r="A41" s="192"/>
      <c r="B41" s="200" t="str">
        <v>MYL202509109</v>
      </c>
      <c r="C41" s="173" t="str">
        <v>MR YOD CHAMPA</v>
      </c>
      <c r="D41" s="193">
        <v>2091295633</v>
      </c>
      <c r="E41" s="194" t="str">
        <v>Welding  PTS</v>
      </c>
      <c r="F41" s="195" t="str">
        <v>ພາຍໃນປະເທດ</v>
      </c>
      <c r="G41" s="196">
        <v>26</v>
      </c>
      <c r="H41" s="197">
        <v>2600000</v>
      </c>
      <c r="I41" s="198">
        <v>10000</v>
      </c>
      <c r="J41" s="180">
        <v>1</v>
      </c>
      <c r="K41" s="181">
        <f t="shared" si="9"/>
        <v>10000</v>
      </c>
      <c r="L41" s="182">
        <v>20000</v>
      </c>
      <c r="M41" s="183"/>
      <c r="N41" s="184">
        <f t="shared" si="10"/>
        <v>0</v>
      </c>
      <c r="O41" s="185">
        <f t="shared" si="11"/>
        <v>50000</v>
      </c>
      <c r="P41" s="180"/>
      <c r="Q41" s="186">
        <f t="shared" si="12"/>
        <v>0</v>
      </c>
      <c r="R41" s="187">
        <f t="shared" si="13"/>
        <v>100000</v>
      </c>
      <c r="S41" s="183">
        <v>1.5</v>
      </c>
      <c r="T41" s="188">
        <f t="shared" si="14"/>
        <v>150000</v>
      </c>
      <c r="U41" s="189">
        <f t="shared" si="15"/>
        <v>100000</v>
      </c>
      <c r="V41" s="180"/>
      <c r="W41" s="181">
        <f t="shared" si="16"/>
        <v>0</v>
      </c>
      <c r="X41" s="199"/>
      <c r="Y41" s="199"/>
      <c r="Z41" s="199"/>
    </row>
    <row r="42" spans="1:26">
      <c r="A42" s="192"/>
      <c r="B42" s="200" t="str">
        <v>MYT202604143</v>
      </c>
      <c r="C42" s="173" t="str">
        <v>MR BOUNSAVATH PHETKHAMBOONHUEANG</v>
      </c>
      <c r="D42" s="193">
        <v>2099099712</v>
      </c>
      <c r="E42" s="194" t="str">
        <v>Welding  PTS</v>
      </c>
      <c r="F42" s="195" t="str">
        <v>ພາຍໃນປະເທດ</v>
      </c>
      <c r="G42" s="196">
        <v>26</v>
      </c>
      <c r="H42" s="197">
        <v>2500000</v>
      </c>
      <c r="I42" s="198">
        <v>10000</v>
      </c>
      <c r="J42" s="180"/>
      <c r="K42" s="181">
        <f t="shared" si="9"/>
        <v>0</v>
      </c>
      <c r="L42" s="182">
        <v>20000</v>
      </c>
      <c r="M42" s="183"/>
      <c r="N42" s="184">
        <f t="shared" si="10"/>
        <v>0</v>
      </c>
      <c r="O42" s="185">
        <f t="shared" si="11"/>
        <v>48076.923076923078</v>
      </c>
      <c r="P42" s="180"/>
      <c r="Q42" s="186">
        <f t="shared" si="12"/>
        <v>0</v>
      </c>
      <c r="R42" s="187">
        <f t="shared" si="13"/>
        <v>96153.846153846156</v>
      </c>
      <c r="S42" s="183">
        <v>1</v>
      </c>
      <c r="T42" s="188">
        <f t="shared" si="14"/>
        <v>96153.846153846156</v>
      </c>
      <c r="U42" s="189">
        <f t="shared" si="15"/>
        <v>96153.846153846156</v>
      </c>
      <c r="V42" s="180"/>
      <c r="W42" s="181">
        <f t="shared" si="16"/>
        <v>0</v>
      </c>
      <c r="X42" s="199"/>
      <c r="Y42" s="199"/>
      <c r="Z42" s="199"/>
    </row>
    <row r="43" spans="1:26">
      <c r="A43" s="192"/>
      <c r="B43" s="200" t="str">
        <v>MYL202405041</v>
      </c>
      <c r="C43" s="173" t="str">
        <v>MR BOUNXUEN SISOMBOUN</v>
      </c>
      <c r="D43" s="193">
        <v>2057922285</v>
      </c>
      <c r="E43" s="194" t="str">
        <v>Welding OTS 1</v>
      </c>
      <c r="F43" s="195" t="str">
        <v>ພາຍໃນປະເທດ</v>
      </c>
      <c r="G43" s="196">
        <v>26</v>
      </c>
      <c r="H43" s="197">
        <v>2702000</v>
      </c>
      <c r="I43" s="198">
        <v>10000</v>
      </c>
      <c r="J43" s="180"/>
      <c r="K43" s="181">
        <f t="shared" si="9"/>
        <v>0</v>
      </c>
      <c r="L43" s="182">
        <v>20000</v>
      </c>
      <c r="M43" s="183"/>
      <c r="N43" s="184">
        <f t="shared" si="10"/>
        <v>0</v>
      </c>
      <c r="O43" s="185">
        <f t="shared" si="11"/>
        <v>51961.538461538461</v>
      </c>
      <c r="P43" s="180"/>
      <c r="Q43" s="186">
        <f t="shared" si="12"/>
        <v>0</v>
      </c>
      <c r="R43" s="187">
        <f t="shared" si="13"/>
        <v>103923.07692307692</v>
      </c>
      <c r="S43" s="183"/>
      <c r="T43" s="188">
        <f t="shared" si="14"/>
        <v>0</v>
      </c>
      <c r="U43" s="189">
        <f t="shared" si="15"/>
        <v>103923.07692307692</v>
      </c>
      <c r="V43" s="180"/>
      <c r="W43" s="181">
        <f t="shared" si="16"/>
        <v>0</v>
      </c>
      <c r="X43" s="199"/>
      <c r="Y43" s="199"/>
      <c r="Z43" s="199"/>
    </row>
    <row r="44" spans="1:26">
      <c r="A44" s="192"/>
      <c r="B44" s="200" t="str">
        <v>MYL202503042</v>
      </c>
      <c r="C44" s="173" t="str">
        <v>MR PHOLIYA</v>
      </c>
      <c r="D44" s="193">
        <v>2091948440</v>
      </c>
      <c r="E44" s="194" t="str">
        <v>Welding OTS 1</v>
      </c>
      <c r="F44" s="195" t="str">
        <v>ພາຍໃນປະເທດ</v>
      </c>
      <c r="G44" s="196">
        <v>26</v>
      </c>
      <c r="H44" s="197">
        <v>2600000</v>
      </c>
      <c r="I44" s="198">
        <v>10000</v>
      </c>
      <c r="J44" s="180">
        <v>6</v>
      </c>
      <c r="K44" s="181">
        <f t="shared" si="9"/>
        <v>60000</v>
      </c>
      <c r="L44" s="182">
        <v>20000</v>
      </c>
      <c r="M44" s="183"/>
      <c r="N44" s="184">
        <f t="shared" si="10"/>
        <v>0</v>
      </c>
      <c r="O44" s="185">
        <f t="shared" si="11"/>
        <v>50000</v>
      </c>
      <c r="P44" s="180"/>
      <c r="Q44" s="186">
        <f t="shared" si="12"/>
        <v>0</v>
      </c>
      <c r="R44" s="187">
        <f t="shared" si="13"/>
        <v>100000</v>
      </c>
      <c r="S44" s="183">
        <v>4</v>
      </c>
      <c r="T44" s="188">
        <f t="shared" si="14"/>
        <v>400000</v>
      </c>
      <c r="U44" s="189">
        <f t="shared" si="15"/>
        <v>100000</v>
      </c>
      <c r="V44" s="180"/>
      <c r="W44" s="181">
        <f t="shared" si="16"/>
        <v>0</v>
      </c>
      <c r="X44" s="199"/>
      <c r="Y44" s="199"/>
      <c r="Z44" s="199"/>
    </row>
    <row r="45" spans="1:26">
      <c r="A45" s="192"/>
      <c r="B45" s="200" t="str">
        <v>MYL202502048</v>
      </c>
      <c r="C45" s="173" t="str">
        <v>MR XAYSANA CHANTHAVILAY</v>
      </c>
      <c r="D45" s="193">
        <v>2097690329</v>
      </c>
      <c r="E45" s="194" t="str">
        <v>Welding OTS 1</v>
      </c>
      <c r="F45" s="195" t="str">
        <v>ພາຍໃນປະເທດ</v>
      </c>
      <c r="G45" s="196">
        <v>26</v>
      </c>
      <c r="H45" s="197">
        <v>2600000</v>
      </c>
      <c r="I45" s="198">
        <v>10000</v>
      </c>
      <c r="J45" s="180">
        <v>1</v>
      </c>
      <c r="K45" s="181">
        <f t="shared" si="9"/>
        <v>10000</v>
      </c>
      <c r="L45" s="182">
        <v>20000</v>
      </c>
      <c r="M45" s="183"/>
      <c r="N45" s="184">
        <f t="shared" si="10"/>
        <v>0</v>
      </c>
      <c r="O45" s="185">
        <f t="shared" si="11"/>
        <v>50000</v>
      </c>
      <c r="P45" s="180"/>
      <c r="Q45" s="186">
        <f t="shared" si="12"/>
        <v>0</v>
      </c>
      <c r="R45" s="187">
        <f t="shared" si="13"/>
        <v>100000</v>
      </c>
      <c r="S45" s="183">
        <v>3</v>
      </c>
      <c r="T45" s="188">
        <f t="shared" si="14"/>
        <v>300000</v>
      </c>
      <c r="U45" s="189">
        <f t="shared" si="15"/>
        <v>100000</v>
      </c>
      <c r="V45" s="180"/>
      <c r="W45" s="181">
        <f t="shared" si="16"/>
        <v>0</v>
      </c>
      <c r="X45" s="199"/>
      <c r="Y45" s="199"/>
      <c r="Z45" s="199"/>
    </row>
    <row r="46" spans="1:26">
      <c r="A46" s="192"/>
      <c r="B46" s="200" t="str">
        <v>MYL202601088</v>
      </c>
      <c r="C46" s="173" t="str">
        <v>MR SAYYAPHONE CHAMPA</v>
      </c>
      <c r="D46" s="193">
        <v>2076162127</v>
      </c>
      <c r="E46" s="194" t="str">
        <v>Welding OTS 1</v>
      </c>
      <c r="F46" s="195" t="str">
        <v>ພາຍໃນປະເທດ</v>
      </c>
      <c r="G46" s="196">
        <v>26</v>
      </c>
      <c r="H46" s="197">
        <v>2600000</v>
      </c>
      <c r="I46" s="198">
        <v>10000</v>
      </c>
      <c r="J46" s="180"/>
      <c r="K46" s="181">
        <f t="shared" si="9"/>
        <v>0</v>
      </c>
      <c r="L46" s="182">
        <v>20000</v>
      </c>
      <c r="M46" s="183"/>
      <c r="N46" s="184">
        <f t="shared" si="10"/>
        <v>0</v>
      </c>
      <c r="O46" s="185">
        <f t="shared" si="11"/>
        <v>50000</v>
      </c>
      <c r="P46" s="180"/>
      <c r="Q46" s="186">
        <f t="shared" si="12"/>
        <v>0</v>
      </c>
      <c r="R46" s="187">
        <f t="shared" si="13"/>
        <v>100000</v>
      </c>
      <c r="S46" s="183">
        <v>3</v>
      </c>
      <c r="T46" s="188">
        <f t="shared" si="14"/>
        <v>300000</v>
      </c>
      <c r="U46" s="189">
        <f t="shared" si="15"/>
        <v>100000</v>
      </c>
      <c r="V46" s="180"/>
      <c r="W46" s="181">
        <f t="shared" si="16"/>
        <v>0</v>
      </c>
      <c r="X46" s="199"/>
      <c r="Y46" s="199"/>
      <c r="Z46" s="199"/>
    </row>
    <row r="47" spans="1:26">
      <c r="A47" s="192"/>
      <c r="B47" s="200" t="str">
        <v>MYL202505089</v>
      </c>
      <c r="C47" s="173" t="str">
        <v>MR VONGDEUAN PHIMMASOME</v>
      </c>
      <c r="D47" s="193">
        <v>2059784851</v>
      </c>
      <c r="E47" s="194" t="str">
        <v>Welding OTS 1</v>
      </c>
      <c r="F47" s="195" t="str">
        <v>ພາຍໃນປະເທດ</v>
      </c>
      <c r="G47" s="196">
        <v>26</v>
      </c>
      <c r="H47" s="197">
        <v>2600000</v>
      </c>
      <c r="I47" s="198">
        <v>10000</v>
      </c>
      <c r="J47" s="180"/>
      <c r="K47" s="181">
        <f t="shared" si="9"/>
        <v>0</v>
      </c>
      <c r="L47" s="182">
        <v>20000</v>
      </c>
      <c r="M47" s="183"/>
      <c r="N47" s="184">
        <f t="shared" si="10"/>
        <v>0</v>
      </c>
      <c r="O47" s="185">
        <f t="shared" si="11"/>
        <v>50000</v>
      </c>
      <c r="P47" s="180"/>
      <c r="Q47" s="186">
        <f t="shared" si="12"/>
        <v>0</v>
      </c>
      <c r="R47" s="187">
        <f t="shared" si="13"/>
        <v>100000</v>
      </c>
      <c r="S47" s="183"/>
      <c r="T47" s="188">
        <f t="shared" si="14"/>
        <v>0</v>
      </c>
      <c r="U47" s="189">
        <f t="shared" si="15"/>
        <v>100000</v>
      </c>
      <c r="V47" s="180"/>
      <c r="W47" s="181">
        <f t="shared" si="16"/>
        <v>0</v>
      </c>
      <c r="X47" s="199"/>
      <c r="Y47" s="199"/>
      <c r="Z47" s="199"/>
    </row>
    <row r="48" spans="1:26">
      <c r="A48" s="192"/>
      <c r="B48" s="200" t="str">
        <v>MYL202507103</v>
      </c>
      <c r="C48" s="173" t="str">
        <v>MR NOUZING SEELANAM</v>
      </c>
      <c r="D48" s="193">
        <v>2093462059</v>
      </c>
      <c r="E48" s="194" t="str">
        <v>Welding OTS 1</v>
      </c>
      <c r="F48" s="195" t="str">
        <v>ພາຍໃນປະເທດ</v>
      </c>
      <c r="G48" s="196">
        <v>26</v>
      </c>
      <c r="H48" s="197">
        <v>2600000</v>
      </c>
      <c r="I48" s="198">
        <v>10000</v>
      </c>
      <c r="J48" s="180"/>
      <c r="K48" s="181">
        <f t="shared" si="9"/>
        <v>0</v>
      </c>
      <c r="L48" s="182">
        <v>20000</v>
      </c>
      <c r="M48" s="183"/>
      <c r="N48" s="184">
        <f t="shared" si="10"/>
        <v>0</v>
      </c>
      <c r="O48" s="185">
        <f t="shared" si="11"/>
        <v>50000</v>
      </c>
      <c r="P48" s="180"/>
      <c r="Q48" s="186">
        <f t="shared" si="12"/>
        <v>0</v>
      </c>
      <c r="R48" s="187">
        <f t="shared" si="13"/>
        <v>100000</v>
      </c>
      <c r="S48" s="183">
        <v>4</v>
      </c>
      <c r="T48" s="188">
        <f t="shared" si="14"/>
        <v>400000</v>
      </c>
      <c r="U48" s="189">
        <f t="shared" si="15"/>
        <v>100000</v>
      </c>
      <c r="V48" s="180"/>
      <c r="W48" s="181">
        <f t="shared" si="16"/>
        <v>0</v>
      </c>
      <c r="X48" s="199"/>
      <c r="Y48" s="199"/>
      <c r="Z48" s="199"/>
    </row>
    <row r="49" spans="1:26">
      <c r="A49" s="192"/>
      <c r="B49" s="200" t="str">
        <v>MYL202606157</v>
      </c>
      <c r="C49" s="173" t="str">
        <v>MR PHOUTHONE CHANTHAVONGSA</v>
      </c>
      <c r="D49" s="193">
        <v>2095105674</v>
      </c>
      <c r="E49" s="194" t="str">
        <v>Welding OTS 1</v>
      </c>
      <c r="F49" s="195" t="str">
        <v>ພາຍໃນປະເທດ</v>
      </c>
      <c r="G49" s="196">
        <v>26</v>
      </c>
      <c r="H49" s="197">
        <v>2500000</v>
      </c>
      <c r="I49" s="198">
        <v>10000</v>
      </c>
      <c r="J49" s="180"/>
      <c r="K49" s="181">
        <f t="shared" si="9"/>
        <v>0</v>
      </c>
      <c r="L49" s="182">
        <v>20000</v>
      </c>
      <c r="M49" s="183"/>
      <c r="N49" s="184">
        <f t="shared" si="10"/>
        <v>0</v>
      </c>
      <c r="O49" s="185">
        <f t="shared" si="11"/>
        <v>48076.923076923078</v>
      </c>
      <c r="P49" s="180"/>
      <c r="Q49" s="186">
        <f t="shared" si="12"/>
        <v>0</v>
      </c>
      <c r="R49" s="187">
        <f t="shared" si="13"/>
        <v>96153.846153846156</v>
      </c>
      <c r="S49" s="183"/>
      <c r="T49" s="188">
        <f t="shared" si="14"/>
        <v>0</v>
      </c>
      <c r="U49" s="189">
        <f t="shared" si="15"/>
        <v>96153.846153846156</v>
      </c>
      <c r="V49" s="180">
        <v>6</v>
      </c>
      <c r="W49" s="181">
        <f t="shared" si="16"/>
        <v>576923.07692307699</v>
      </c>
      <c r="X49" s="199"/>
      <c r="Y49" s="199"/>
      <c r="Z49" s="199"/>
    </row>
    <row r="50" spans="1:26">
      <c r="A50" s="192"/>
      <c r="B50" s="200" t="str">
        <v>MYL201908038</v>
      </c>
      <c r="C50" s="173" t="str">
        <v>MR PHONEPHANA  SINGSUAYKEO</v>
      </c>
      <c r="D50" s="193">
        <v>2077111088</v>
      </c>
      <c r="E50" s="194" t="str">
        <v>Welding OTS 2</v>
      </c>
      <c r="F50" s="195" t="str">
        <v>ພາຍໃນປະເທດ</v>
      </c>
      <c r="G50" s="196">
        <v>26</v>
      </c>
      <c r="H50" s="197">
        <v>4000000</v>
      </c>
      <c r="I50" s="198">
        <v>10000</v>
      </c>
      <c r="J50" s="180"/>
      <c r="K50" s="181">
        <f t="shared" si="9"/>
        <v>0</v>
      </c>
      <c r="L50" s="182">
        <v>20000</v>
      </c>
      <c r="M50" s="183"/>
      <c r="N50" s="184">
        <f t="shared" si="10"/>
        <v>0</v>
      </c>
      <c r="O50" s="185">
        <f t="shared" si="11"/>
        <v>76923.076923076922</v>
      </c>
      <c r="P50" s="180"/>
      <c r="Q50" s="186">
        <f t="shared" si="12"/>
        <v>0</v>
      </c>
      <c r="R50" s="187">
        <f t="shared" si="13"/>
        <v>153846.15384615384</v>
      </c>
      <c r="S50" s="183">
        <v>1</v>
      </c>
      <c r="T50" s="188">
        <f t="shared" si="14"/>
        <v>153846.15384615384</v>
      </c>
      <c r="U50" s="189">
        <f t="shared" si="15"/>
        <v>153846.15384615384</v>
      </c>
      <c r="V50" s="180"/>
      <c r="W50" s="181">
        <f t="shared" si="16"/>
        <v>0</v>
      </c>
      <c r="X50" s="199"/>
      <c r="Y50" s="199"/>
      <c r="Z50" s="199"/>
    </row>
    <row r="51" spans="1:26">
      <c r="A51" s="192"/>
      <c r="B51" s="200" t="str">
        <v>MYL202502043</v>
      </c>
      <c r="C51" s="173" t="str">
        <v>MR JONENY CHAMPA</v>
      </c>
      <c r="D51" s="193">
        <v>2058802628</v>
      </c>
      <c r="E51" s="194" t="str">
        <v>Welding OTS 2</v>
      </c>
      <c r="F51" s="195" t="str">
        <v>ພາຍໃນປະເທດ</v>
      </c>
      <c r="G51" s="196">
        <v>26</v>
      </c>
      <c r="H51" s="197">
        <v>2600000</v>
      </c>
      <c r="I51" s="198">
        <v>10000</v>
      </c>
      <c r="J51" s="180"/>
      <c r="K51" s="181">
        <f t="shared" si="9"/>
        <v>0</v>
      </c>
      <c r="L51" s="182">
        <v>20000</v>
      </c>
      <c r="M51" s="183"/>
      <c r="N51" s="184">
        <f t="shared" si="10"/>
        <v>0</v>
      </c>
      <c r="O51" s="185">
        <f t="shared" si="11"/>
        <v>50000</v>
      </c>
      <c r="P51" s="180"/>
      <c r="Q51" s="186">
        <f t="shared" si="12"/>
        <v>0</v>
      </c>
      <c r="R51" s="187">
        <f t="shared" si="13"/>
        <v>100000</v>
      </c>
      <c r="S51" s="183"/>
      <c r="T51" s="188">
        <f t="shared" si="14"/>
        <v>0</v>
      </c>
      <c r="U51" s="189">
        <f t="shared" si="15"/>
        <v>100000</v>
      </c>
      <c r="V51" s="180"/>
      <c r="W51" s="181">
        <f t="shared" si="16"/>
        <v>0</v>
      </c>
      <c r="X51" s="199"/>
      <c r="Y51" s="199"/>
      <c r="Z51" s="199"/>
    </row>
    <row r="52" spans="1:26">
      <c r="A52" s="192"/>
      <c r="B52" s="200" t="str">
        <v>MYL202504055</v>
      </c>
      <c r="C52" s="173" t="str">
        <v>MR BOUNMA SOUTHALIN</v>
      </c>
      <c r="D52" s="193">
        <v>2099388176</v>
      </c>
      <c r="E52" s="194" t="str">
        <v>Welding OTS 2</v>
      </c>
      <c r="F52" s="195" t="str">
        <v>ພາຍໃນປະເທດ</v>
      </c>
      <c r="G52" s="196">
        <v>26</v>
      </c>
      <c r="H52" s="197">
        <v>2600000</v>
      </c>
      <c r="I52" s="198">
        <v>10000</v>
      </c>
      <c r="J52" s="180"/>
      <c r="K52" s="181">
        <f t="shared" si="9"/>
        <v>0</v>
      </c>
      <c r="L52" s="182">
        <v>20000</v>
      </c>
      <c r="M52" s="183"/>
      <c r="N52" s="184">
        <f t="shared" si="10"/>
        <v>0</v>
      </c>
      <c r="O52" s="185">
        <f t="shared" si="11"/>
        <v>50000</v>
      </c>
      <c r="P52" s="180"/>
      <c r="Q52" s="186">
        <f t="shared" si="12"/>
        <v>0</v>
      </c>
      <c r="R52" s="187">
        <f t="shared" si="13"/>
        <v>100000</v>
      </c>
      <c r="S52" s="183"/>
      <c r="T52" s="188">
        <f t="shared" si="14"/>
        <v>0</v>
      </c>
      <c r="U52" s="189">
        <f t="shared" si="15"/>
        <v>100000</v>
      </c>
      <c r="V52" s="180"/>
      <c r="W52" s="181">
        <f t="shared" si="16"/>
        <v>0</v>
      </c>
      <c r="X52" s="199"/>
      <c r="Y52" s="199"/>
      <c r="Z52" s="199"/>
    </row>
    <row r="53" spans="1:26">
      <c r="A53" s="192"/>
      <c r="B53" s="200" t="str">
        <v>MYL202507097</v>
      </c>
      <c r="C53" s="173" t="str">
        <v>MR CHAT SAENGARLUON</v>
      </c>
      <c r="D53" s="193">
        <v>2093107685</v>
      </c>
      <c r="E53" s="194" t="str">
        <v>Welding OTS 2</v>
      </c>
      <c r="F53" s="195" t="str">
        <v>ພາຍໃນປະເທດ</v>
      </c>
      <c r="G53" s="196">
        <v>26</v>
      </c>
      <c r="H53" s="197">
        <v>2600000</v>
      </c>
      <c r="I53" s="198">
        <v>10000</v>
      </c>
      <c r="J53" s="180">
        <v>5</v>
      </c>
      <c r="K53" s="181">
        <f t="shared" si="9"/>
        <v>50000</v>
      </c>
      <c r="L53" s="182">
        <v>20000</v>
      </c>
      <c r="M53" s="183"/>
      <c r="N53" s="184">
        <f t="shared" si="10"/>
        <v>0</v>
      </c>
      <c r="O53" s="185">
        <f t="shared" si="11"/>
        <v>50000</v>
      </c>
      <c r="P53" s="180"/>
      <c r="Q53" s="186">
        <f t="shared" si="12"/>
        <v>0</v>
      </c>
      <c r="R53" s="187">
        <f t="shared" si="13"/>
        <v>100000</v>
      </c>
      <c r="S53" s="183">
        <v>1</v>
      </c>
      <c r="T53" s="188">
        <f t="shared" si="14"/>
        <v>100000</v>
      </c>
      <c r="U53" s="189">
        <f t="shared" si="15"/>
        <v>100000</v>
      </c>
      <c r="V53" s="180"/>
      <c r="W53" s="181">
        <f t="shared" si="16"/>
        <v>0</v>
      </c>
      <c r="X53" s="199"/>
      <c r="Y53" s="199"/>
      <c r="Z53" s="199"/>
    </row>
    <row r="54" spans="1:26">
      <c r="A54" s="192"/>
      <c r="B54" s="200" t="str">
        <v>MYL202507101</v>
      </c>
      <c r="C54" s="173" t="str">
        <v>MR BOUNKEUTH NORLATH</v>
      </c>
      <c r="D54" s="193">
        <v>2094297776</v>
      </c>
      <c r="E54" s="194" t="str">
        <v>Welding OTS 2</v>
      </c>
      <c r="F54" s="195" t="str">
        <v>ພາຍໃນປະເທດ</v>
      </c>
      <c r="G54" s="196">
        <v>26</v>
      </c>
      <c r="H54" s="197">
        <v>2500000</v>
      </c>
      <c r="I54" s="198">
        <v>10000</v>
      </c>
      <c r="J54" s="180"/>
      <c r="K54" s="181">
        <f t="shared" si="9"/>
        <v>0</v>
      </c>
      <c r="L54" s="182">
        <v>20000</v>
      </c>
      <c r="M54" s="183"/>
      <c r="N54" s="184">
        <f t="shared" si="10"/>
        <v>0</v>
      </c>
      <c r="O54" s="185">
        <f t="shared" si="11"/>
        <v>48076.923076923078</v>
      </c>
      <c r="P54" s="180"/>
      <c r="Q54" s="186">
        <f t="shared" si="12"/>
        <v>0</v>
      </c>
      <c r="R54" s="187">
        <f t="shared" si="13"/>
        <v>96153.846153846156</v>
      </c>
      <c r="S54" s="183">
        <v>2</v>
      </c>
      <c r="T54" s="188">
        <f t="shared" si="14"/>
        <v>192307.69230769231</v>
      </c>
      <c r="U54" s="189">
        <f t="shared" si="15"/>
        <v>96153.846153846156</v>
      </c>
      <c r="V54" s="180"/>
      <c r="W54" s="181">
        <f t="shared" si="16"/>
        <v>0</v>
      </c>
      <c r="X54" s="199"/>
      <c r="Y54" s="199"/>
      <c r="Z54" s="199"/>
    </row>
    <row r="55" spans="1:26">
      <c r="A55" s="192"/>
      <c r="B55" s="200" t="str">
        <v>MYL202601126</v>
      </c>
      <c r="C55" s="173" t="str">
        <v>MR BONETHANA SYPASUET</v>
      </c>
      <c r="D55" s="193">
        <v>2098614922</v>
      </c>
      <c r="E55" s="194" t="str">
        <v>Welding OTS 2</v>
      </c>
      <c r="F55" s="195" t="str">
        <v>ພາຍໃນປະເທດ</v>
      </c>
      <c r="G55" s="196">
        <v>26</v>
      </c>
      <c r="H55" s="197">
        <v>2600000</v>
      </c>
      <c r="I55" s="198">
        <v>10000</v>
      </c>
      <c r="J55" s="180"/>
      <c r="K55" s="181">
        <f t="shared" si="9"/>
        <v>0</v>
      </c>
      <c r="L55" s="182">
        <v>20000</v>
      </c>
      <c r="M55" s="183"/>
      <c r="N55" s="184">
        <f t="shared" si="10"/>
        <v>0</v>
      </c>
      <c r="O55" s="185">
        <f t="shared" si="11"/>
        <v>50000</v>
      </c>
      <c r="P55" s="180"/>
      <c r="Q55" s="186">
        <f t="shared" si="12"/>
        <v>0</v>
      </c>
      <c r="R55" s="187">
        <f t="shared" si="13"/>
        <v>100000</v>
      </c>
      <c r="S55" s="183"/>
      <c r="T55" s="188">
        <f t="shared" si="14"/>
        <v>0</v>
      </c>
      <c r="U55" s="189">
        <f t="shared" si="15"/>
        <v>100000</v>
      </c>
      <c r="V55" s="180"/>
      <c r="W55" s="181">
        <f t="shared" si="16"/>
        <v>0</v>
      </c>
      <c r="X55" s="199"/>
      <c r="Y55" s="199"/>
      <c r="Z55" s="199"/>
    </row>
    <row r="56" spans="1:26">
      <c r="A56" s="192"/>
      <c r="B56" s="200" t="str">
        <v>MYL202605148</v>
      </c>
      <c r="C56" s="173" t="str">
        <v>MR VILAYLACK SEEMIXAI</v>
      </c>
      <c r="D56" s="193">
        <v>2056183148</v>
      </c>
      <c r="E56" s="194" t="str">
        <v>Welding OTS 2</v>
      </c>
      <c r="F56" s="195" t="str">
        <v>ພາຍໃນປະເທດ</v>
      </c>
      <c r="G56" s="196">
        <v>26</v>
      </c>
      <c r="H56" s="197">
        <v>2500000</v>
      </c>
      <c r="I56" s="198">
        <v>10000</v>
      </c>
      <c r="J56" s="180"/>
      <c r="K56" s="181">
        <f t="shared" si="9"/>
        <v>0</v>
      </c>
      <c r="L56" s="182">
        <v>20000</v>
      </c>
      <c r="M56" s="183"/>
      <c r="N56" s="184">
        <f t="shared" si="10"/>
        <v>0</v>
      </c>
      <c r="O56" s="185">
        <f t="shared" si="11"/>
        <v>48076.923076923078</v>
      </c>
      <c r="P56" s="180"/>
      <c r="Q56" s="186">
        <f t="shared" si="12"/>
        <v>0</v>
      </c>
      <c r="R56" s="187">
        <f t="shared" si="13"/>
        <v>96153.846153846156</v>
      </c>
      <c r="S56" s="183">
        <v>2</v>
      </c>
      <c r="T56" s="188">
        <f t="shared" si="14"/>
        <v>192307.69230769231</v>
      </c>
      <c r="U56" s="189">
        <f t="shared" si="15"/>
        <v>96153.846153846156</v>
      </c>
      <c r="V56" s="180"/>
      <c r="W56" s="181">
        <f t="shared" si="16"/>
        <v>0</v>
      </c>
      <c r="X56" s="199"/>
      <c r="Y56" s="199"/>
      <c r="Z56" s="199"/>
    </row>
    <row r="57" spans="1:26">
      <c r="A57" s="192"/>
      <c r="B57" s="200" t="str">
        <v>MYL202606154</v>
      </c>
      <c r="C57" s="173" t="str">
        <v>MR THUDSAPHONE HOUNGLADSAMEE</v>
      </c>
      <c r="D57" s="193">
        <v>2097845973</v>
      </c>
      <c r="E57" s="194" t="str">
        <v>Welding OTS 2</v>
      </c>
      <c r="F57" s="195" t="str">
        <v>ພາຍໃນປະເທດ</v>
      </c>
      <c r="G57" s="196">
        <v>26</v>
      </c>
      <c r="H57" s="197">
        <v>2500000</v>
      </c>
      <c r="I57" s="198">
        <v>10000</v>
      </c>
      <c r="J57" s="180"/>
      <c r="K57" s="181">
        <f t="shared" si="9"/>
        <v>0</v>
      </c>
      <c r="L57" s="182">
        <v>20000</v>
      </c>
      <c r="M57" s="183"/>
      <c r="N57" s="184">
        <f t="shared" si="10"/>
        <v>0</v>
      </c>
      <c r="O57" s="185">
        <f t="shared" si="11"/>
        <v>48076.923076923078</v>
      </c>
      <c r="P57" s="180"/>
      <c r="Q57" s="186">
        <f t="shared" si="12"/>
        <v>0</v>
      </c>
      <c r="R57" s="187">
        <f t="shared" si="13"/>
        <v>96153.846153846156</v>
      </c>
      <c r="S57" s="183">
        <v>1</v>
      </c>
      <c r="T57" s="188">
        <f t="shared" si="14"/>
        <v>96153.846153846156</v>
      </c>
      <c r="U57" s="189">
        <f t="shared" si="15"/>
        <v>96153.846153846156</v>
      </c>
      <c r="V57" s="180">
        <v>6</v>
      </c>
      <c r="W57" s="181">
        <f t="shared" si="16"/>
        <v>576923.07692307699</v>
      </c>
      <c r="X57" s="199"/>
      <c r="Y57" s="199"/>
      <c r="Z57" s="199"/>
    </row>
    <row r="58" spans="1:26">
      <c r="A58" s="192"/>
      <c r="B58" s="200" t="str">
        <v>MYL202001008</v>
      </c>
      <c r="C58" s="173" t="str">
        <v>MRS SAVINY PHOUTTHALAKSA</v>
      </c>
      <c r="D58" s="193">
        <v>2099481761</v>
      </c>
      <c r="E58" s="194" t="str">
        <v>Valve Assembly</v>
      </c>
      <c r="F58" s="195" t="str">
        <v>ພາຍໃນປະເທດ</v>
      </c>
      <c r="G58" s="196">
        <v>26</v>
      </c>
      <c r="H58" s="197">
        <v>2865137.824</v>
      </c>
      <c r="I58" s="198">
        <v>10000</v>
      </c>
      <c r="J58" s="180"/>
      <c r="K58" s="181">
        <f t="shared" si="9"/>
        <v>0</v>
      </c>
      <c r="L58" s="182">
        <v>20000</v>
      </c>
      <c r="M58" s="183"/>
      <c r="N58" s="184">
        <f t="shared" si="10"/>
        <v>0</v>
      </c>
      <c r="O58" s="185">
        <f t="shared" si="11"/>
        <v>55098.804307692306</v>
      </c>
      <c r="P58" s="180"/>
      <c r="Q58" s="186">
        <f t="shared" si="12"/>
        <v>0</v>
      </c>
      <c r="R58" s="187">
        <f t="shared" si="13"/>
        <v>110197.60861538461</v>
      </c>
      <c r="S58" s="183"/>
      <c r="T58" s="188">
        <f t="shared" si="14"/>
        <v>0</v>
      </c>
      <c r="U58" s="189">
        <f t="shared" si="15"/>
        <v>110197.60861538461</v>
      </c>
      <c r="V58" s="180"/>
      <c r="W58" s="181">
        <f t="shared" si="16"/>
        <v>0</v>
      </c>
      <c r="X58" s="199"/>
      <c r="Y58" s="199"/>
      <c r="Z58" s="199"/>
    </row>
    <row r="59" spans="1:26">
      <c r="A59" s="192"/>
      <c r="B59" s="200" t="str">
        <v>MYL202501009</v>
      </c>
      <c r="C59" s="173" t="str">
        <v>MRS SUINOY THILAKHAMPHIW</v>
      </c>
      <c r="D59" s="193">
        <v>2077053990</v>
      </c>
      <c r="E59" s="194" t="str">
        <v>Valve Assembly</v>
      </c>
      <c r="F59" s="195" t="str">
        <v>ພາຍໃນປະເທດ</v>
      </c>
      <c r="G59" s="196">
        <v>26</v>
      </c>
      <c r="H59" s="197">
        <v>2600000</v>
      </c>
      <c r="I59" s="198">
        <v>10000</v>
      </c>
      <c r="J59" s="180"/>
      <c r="K59" s="181">
        <f t="shared" si="9"/>
        <v>0</v>
      </c>
      <c r="L59" s="182">
        <v>20000</v>
      </c>
      <c r="M59" s="183"/>
      <c r="N59" s="184">
        <f t="shared" si="10"/>
        <v>0</v>
      </c>
      <c r="O59" s="185">
        <f t="shared" si="11"/>
        <v>50000</v>
      </c>
      <c r="P59" s="180"/>
      <c r="Q59" s="186">
        <f t="shared" si="12"/>
        <v>0</v>
      </c>
      <c r="R59" s="187">
        <f t="shared" si="13"/>
        <v>100000</v>
      </c>
      <c r="S59" s="183">
        <v>2</v>
      </c>
      <c r="T59" s="188">
        <f t="shared" si="14"/>
        <v>200000</v>
      </c>
      <c r="U59" s="189">
        <f t="shared" si="15"/>
        <v>100000</v>
      </c>
      <c r="V59" s="180"/>
      <c r="W59" s="181">
        <f t="shared" si="16"/>
        <v>0</v>
      </c>
      <c r="X59" s="199"/>
      <c r="Y59" s="199"/>
      <c r="Z59" s="199"/>
    </row>
    <row r="60" spans="1:26">
      <c r="A60" s="192"/>
      <c r="B60" s="200" t="str">
        <v>MYL202001019</v>
      </c>
      <c r="C60" s="173" t="str">
        <v>MRS VANNAPHA VONGCHANDY</v>
      </c>
      <c r="D60" s="193">
        <v>2051502770</v>
      </c>
      <c r="E60" s="194" t="str">
        <v>PISTON Assembly</v>
      </c>
      <c r="F60" s="195" t="str">
        <v>ພາຍໃນປະເທດ</v>
      </c>
      <c r="G60" s="196">
        <v>26</v>
      </c>
      <c r="H60" s="197">
        <v>2865137.824</v>
      </c>
      <c r="I60" s="198">
        <v>10000</v>
      </c>
      <c r="J60" s="180"/>
      <c r="K60" s="181">
        <f t="shared" si="9"/>
        <v>0</v>
      </c>
      <c r="L60" s="182">
        <v>20000</v>
      </c>
      <c r="M60" s="183"/>
      <c r="N60" s="184">
        <f t="shared" si="10"/>
        <v>0</v>
      </c>
      <c r="O60" s="185">
        <f t="shared" si="11"/>
        <v>55098.804307692306</v>
      </c>
      <c r="P60" s="180"/>
      <c r="Q60" s="186">
        <f t="shared" si="12"/>
        <v>0</v>
      </c>
      <c r="R60" s="187">
        <f t="shared" si="13"/>
        <v>110197.60861538461</v>
      </c>
      <c r="S60" s="183"/>
      <c r="T60" s="188">
        <f t="shared" si="14"/>
        <v>0</v>
      </c>
      <c r="U60" s="189">
        <f t="shared" si="15"/>
        <v>110197.60861538461</v>
      </c>
      <c r="V60" s="180"/>
      <c r="W60" s="181">
        <f t="shared" si="16"/>
        <v>0</v>
      </c>
      <c r="X60" s="199"/>
      <c r="Y60" s="199"/>
      <c r="Z60" s="199"/>
    </row>
    <row r="61" spans="1:26">
      <c r="A61" s="192"/>
      <c r="B61" s="200" t="str">
        <v>MYL202509115</v>
      </c>
      <c r="C61" s="173" t="str">
        <v>MRS TOUNY SENGSOULIN</v>
      </c>
      <c r="D61" s="193">
        <v>2091940060</v>
      </c>
      <c r="E61" s="194" t="str">
        <v>PISTON Assembly</v>
      </c>
      <c r="F61" s="195" t="str">
        <v>ພາຍໃນປະເທດ</v>
      </c>
      <c r="G61" s="196">
        <v>26</v>
      </c>
      <c r="H61" s="197">
        <v>2600000</v>
      </c>
      <c r="I61" s="198">
        <v>10000</v>
      </c>
      <c r="J61" s="180"/>
      <c r="K61" s="181">
        <f t="shared" si="9"/>
        <v>0</v>
      </c>
      <c r="L61" s="182">
        <v>20000</v>
      </c>
      <c r="M61" s="183"/>
      <c r="N61" s="184">
        <f t="shared" si="10"/>
        <v>0</v>
      </c>
      <c r="O61" s="185">
        <f t="shared" si="11"/>
        <v>50000</v>
      </c>
      <c r="P61" s="180"/>
      <c r="Q61" s="186">
        <f t="shared" si="12"/>
        <v>0</v>
      </c>
      <c r="R61" s="187">
        <f t="shared" si="13"/>
        <v>100000</v>
      </c>
      <c r="S61" s="183">
        <v>2</v>
      </c>
      <c r="T61" s="188">
        <f t="shared" si="14"/>
        <v>200000</v>
      </c>
      <c r="U61" s="189">
        <f t="shared" si="15"/>
        <v>100000</v>
      </c>
      <c r="V61" s="180"/>
      <c r="W61" s="181">
        <f t="shared" si="16"/>
        <v>0</v>
      </c>
      <c r="X61" s="199"/>
      <c r="Y61" s="199"/>
      <c r="Z61" s="199"/>
    </row>
    <row r="62" spans="1:26">
      <c r="A62" s="192"/>
      <c r="B62" s="200" t="str">
        <v>MYL201908033</v>
      </c>
      <c r="C62" s="173" t="str">
        <v>MR SIPHAN KITTILATH</v>
      </c>
      <c r="D62" s="193">
        <v>2051502770</v>
      </c>
      <c r="E62" s="194" t="str">
        <v>Assembly_PTS</v>
      </c>
      <c r="F62" s="195" t="str">
        <v>ພາຍໃນປະເທດ</v>
      </c>
      <c r="G62" s="196">
        <v>26</v>
      </c>
      <c r="H62" s="197">
        <v>3300000</v>
      </c>
      <c r="I62" s="198">
        <v>10000</v>
      </c>
      <c r="J62" s="180"/>
      <c r="K62" s="181">
        <f t="shared" si="9"/>
        <v>0</v>
      </c>
      <c r="L62" s="182">
        <v>20000</v>
      </c>
      <c r="M62" s="183"/>
      <c r="N62" s="184">
        <f t="shared" si="10"/>
        <v>0</v>
      </c>
      <c r="O62" s="185">
        <f t="shared" si="11"/>
        <v>63461.538461538461</v>
      </c>
      <c r="P62" s="180"/>
      <c r="Q62" s="186">
        <f t="shared" si="12"/>
        <v>0</v>
      </c>
      <c r="R62" s="187">
        <f t="shared" si="13"/>
        <v>126923.07692307692</v>
      </c>
      <c r="S62" s="183"/>
      <c r="T62" s="188">
        <f t="shared" si="14"/>
        <v>0</v>
      </c>
      <c r="U62" s="189">
        <f t="shared" si="15"/>
        <v>126923.07692307692</v>
      </c>
      <c r="V62" s="180"/>
      <c r="W62" s="181">
        <f t="shared" si="16"/>
        <v>0</v>
      </c>
      <c r="X62" s="199"/>
      <c r="Y62" s="199"/>
      <c r="Z62" s="199"/>
    </row>
    <row r="63" spans="1:26">
      <c r="A63" s="192"/>
      <c r="B63" s="200" t="str">
        <v>MYL202502017</v>
      </c>
      <c r="C63" s="173" t="str">
        <v>MRS KHAMPHOUVI SETTHATHILATH</v>
      </c>
      <c r="D63" s="193">
        <v>2095818828</v>
      </c>
      <c r="E63" s="194" t="str">
        <v>Assembly_PTS</v>
      </c>
      <c r="F63" s="195" t="str">
        <v>ພາຍໃນປະເທດ</v>
      </c>
      <c r="G63" s="196">
        <v>26</v>
      </c>
      <c r="H63" s="197">
        <v>2600000</v>
      </c>
      <c r="I63" s="198">
        <v>10000</v>
      </c>
      <c r="J63" s="180"/>
      <c r="K63" s="181">
        <f t="shared" si="9"/>
        <v>0</v>
      </c>
      <c r="L63" s="182">
        <v>20000</v>
      </c>
      <c r="M63" s="183"/>
      <c r="N63" s="184">
        <f t="shared" si="10"/>
        <v>0</v>
      </c>
      <c r="O63" s="185">
        <f t="shared" si="11"/>
        <v>50000</v>
      </c>
      <c r="P63" s="180"/>
      <c r="Q63" s="186">
        <f t="shared" si="12"/>
        <v>0</v>
      </c>
      <c r="R63" s="187">
        <f t="shared" si="13"/>
        <v>100000</v>
      </c>
      <c r="S63" s="183"/>
      <c r="T63" s="188">
        <f t="shared" si="14"/>
        <v>0</v>
      </c>
      <c r="U63" s="189">
        <f t="shared" si="15"/>
        <v>100000</v>
      </c>
      <c r="V63" s="180"/>
      <c r="W63" s="181">
        <f t="shared" si="16"/>
        <v>0</v>
      </c>
      <c r="X63" s="199"/>
      <c r="Y63" s="199"/>
      <c r="Z63" s="199"/>
    </row>
    <row r="64" spans="1:26">
      <c r="A64" s="192"/>
      <c r="B64" s="200" t="str">
        <v>MYL202405034</v>
      </c>
      <c r="C64" s="173" t="str">
        <v>MRS TOUKTA ORLADASITH</v>
      </c>
      <c r="D64" s="193">
        <v>2096080362</v>
      </c>
      <c r="E64" s="194" t="str">
        <v>Assembly_PTS</v>
      </c>
      <c r="F64" s="195" t="str">
        <v>ພາຍໃນປະເທດ</v>
      </c>
      <c r="G64" s="196">
        <v>26</v>
      </c>
      <c r="H64" s="197">
        <v>2668000</v>
      </c>
      <c r="I64" s="198">
        <v>10000</v>
      </c>
      <c r="J64" s="180"/>
      <c r="K64" s="181">
        <f t="shared" si="9"/>
        <v>0</v>
      </c>
      <c r="L64" s="182">
        <v>20000</v>
      </c>
      <c r="M64" s="183"/>
      <c r="N64" s="184">
        <f t="shared" si="10"/>
        <v>0</v>
      </c>
      <c r="O64" s="185">
        <f t="shared" si="11"/>
        <v>51307.692307692305</v>
      </c>
      <c r="P64" s="180"/>
      <c r="Q64" s="186">
        <f t="shared" si="12"/>
        <v>0</v>
      </c>
      <c r="R64" s="187">
        <f t="shared" si="13"/>
        <v>102615.38461538461</v>
      </c>
      <c r="S64" s="183"/>
      <c r="T64" s="188">
        <f t="shared" si="14"/>
        <v>0</v>
      </c>
      <c r="U64" s="189">
        <f t="shared" si="15"/>
        <v>102615.38461538461</v>
      </c>
      <c r="V64" s="180"/>
      <c r="W64" s="181">
        <f t="shared" si="16"/>
        <v>0</v>
      </c>
      <c r="X64" s="199"/>
      <c r="Y64" s="199"/>
      <c r="Z64" s="199"/>
    </row>
    <row r="65" spans="1:26">
      <c r="A65" s="192">
        <v>1</v>
      </c>
      <c r="B65" s="200" t="str">
        <v>MYT202511121</v>
      </c>
      <c r="C65" s="173" t="str">
        <v>MR KHAMPHENG SENGDALA</v>
      </c>
      <c r="D65" s="193">
        <v>2058128091</v>
      </c>
      <c r="E65" s="194" t="str">
        <v>Assembly_PTS</v>
      </c>
      <c r="F65" s="195" t="str">
        <v>ພາຍໃນປະເທດ</v>
      </c>
      <c r="G65" s="196">
        <v>26</v>
      </c>
      <c r="H65" s="197">
        <v>2600000</v>
      </c>
      <c r="I65" s="198">
        <v>10000</v>
      </c>
      <c r="J65" s="180">
        <v>1</v>
      </c>
      <c r="K65" s="181">
        <f t="shared" si="9"/>
        <v>10000</v>
      </c>
      <c r="L65" s="182">
        <v>20000</v>
      </c>
      <c r="M65" s="183"/>
      <c r="N65" s="184">
        <f t="shared" si="10"/>
        <v>0</v>
      </c>
      <c r="O65" s="185">
        <f t="shared" si="11"/>
        <v>50000</v>
      </c>
      <c r="P65" s="180"/>
      <c r="Q65" s="186">
        <f t="shared" si="12"/>
        <v>0</v>
      </c>
      <c r="R65" s="187">
        <f t="shared" si="13"/>
        <v>100000</v>
      </c>
      <c r="S65" s="183">
        <v>1</v>
      </c>
      <c r="T65" s="188">
        <f t="shared" si="14"/>
        <v>100000</v>
      </c>
      <c r="U65" s="189">
        <f t="shared" si="15"/>
        <v>100000</v>
      </c>
      <c r="V65" s="180"/>
      <c r="W65" s="181">
        <f t="shared" si="16"/>
        <v>0</v>
      </c>
      <c r="X65" s="199"/>
      <c r="Y65" s="199"/>
      <c r="Z65" s="199"/>
    </row>
    <row r="66" spans="1:26">
      <c r="A66" s="192"/>
      <c r="B66" s="200" t="str">
        <v>MYL202604145</v>
      </c>
      <c r="C66" s="173" t="str">
        <v>MRS SUAY SENGDALA</v>
      </c>
      <c r="D66" s="193">
        <v>2077315902</v>
      </c>
      <c r="E66" s="194" t="str">
        <v>Assembly_PTS</v>
      </c>
      <c r="F66" s="195" t="str">
        <v>ພາຍໃນປະເທດ</v>
      </c>
      <c r="G66" s="196">
        <v>26</v>
      </c>
      <c r="H66" s="197">
        <v>2500000</v>
      </c>
      <c r="I66" s="198">
        <v>10000</v>
      </c>
      <c r="J66" s="180">
        <v>1</v>
      </c>
      <c r="K66" s="181">
        <f t="shared" si="9"/>
        <v>10000</v>
      </c>
      <c r="L66" s="182">
        <v>20000</v>
      </c>
      <c r="M66" s="183"/>
      <c r="N66" s="184">
        <f t="shared" si="10"/>
        <v>0</v>
      </c>
      <c r="O66" s="185">
        <f t="shared" si="11"/>
        <v>48076.923076923078</v>
      </c>
      <c r="P66" s="180"/>
      <c r="Q66" s="186">
        <f t="shared" si="12"/>
        <v>0</v>
      </c>
      <c r="R66" s="187">
        <f t="shared" si="13"/>
        <v>96153.846153846156</v>
      </c>
      <c r="S66" s="183">
        <v>5</v>
      </c>
      <c r="T66" s="188">
        <f t="shared" si="14"/>
        <v>480769.23076923075</v>
      </c>
      <c r="U66" s="189">
        <f t="shared" si="15"/>
        <v>96153.846153846156</v>
      </c>
      <c r="V66" s="180">
        <v>6</v>
      </c>
      <c r="W66" s="181">
        <f t="shared" si="16"/>
        <v>576923.07692307699</v>
      </c>
      <c r="X66" s="199"/>
      <c r="Y66" s="199"/>
      <c r="Z66" s="199"/>
    </row>
    <row r="67" spans="1:26">
      <c r="A67" s="192"/>
      <c r="B67" s="200" t="str">
        <v>MYL202405063</v>
      </c>
      <c r="C67" s="173" t="str">
        <v>MR LOUNGMISAY SINPASEUTH</v>
      </c>
      <c r="D67" s="193">
        <v>2098774705</v>
      </c>
      <c r="E67" s="194" t="str">
        <v>Assembly SAS</v>
      </c>
      <c r="F67" s="195" t="str">
        <v>ພາຍໃນປະເທດ</v>
      </c>
      <c r="G67" s="196">
        <v>26</v>
      </c>
      <c r="H67" s="197">
        <v>3300000</v>
      </c>
      <c r="I67" s="198">
        <v>10000</v>
      </c>
      <c r="J67" s="180"/>
      <c r="K67" s="181">
        <f t="shared" si="9"/>
        <v>0</v>
      </c>
      <c r="L67" s="182">
        <v>20000</v>
      </c>
      <c r="M67" s="183"/>
      <c r="N67" s="184">
        <f t="shared" si="10"/>
        <v>0</v>
      </c>
      <c r="O67" s="185">
        <f t="shared" si="11"/>
        <v>63461.538461538461</v>
      </c>
      <c r="P67" s="180"/>
      <c r="Q67" s="186">
        <f t="shared" si="12"/>
        <v>0</v>
      </c>
      <c r="R67" s="187">
        <f t="shared" si="13"/>
        <v>126923.07692307692</v>
      </c>
      <c r="S67" s="183"/>
      <c r="T67" s="188">
        <f t="shared" si="14"/>
        <v>0</v>
      </c>
      <c r="U67" s="189">
        <f t="shared" si="15"/>
        <v>126923.07692307692</v>
      </c>
      <c r="V67" s="180"/>
      <c r="W67" s="181">
        <f t="shared" si="16"/>
        <v>0</v>
      </c>
      <c r="X67" s="199"/>
      <c r="Y67" s="199"/>
      <c r="Z67" s="199"/>
    </row>
    <row r="68" spans="1:26">
      <c r="A68" s="192"/>
      <c r="B68" s="200" t="str">
        <v>MYL202406012</v>
      </c>
      <c r="C68" s="173" t="str">
        <v>MR JIMMY KETTAVONG</v>
      </c>
      <c r="D68" s="193">
        <v>2091940060</v>
      </c>
      <c r="E68" s="194" t="str">
        <v>Assembly SAS</v>
      </c>
      <c r="F68" s="195" t="str">
        <v>ພາຍໃນປະເທດ</v>
      </c>
      <c r="G68" s="196">
        <v>26</v>
      </c>
      <c r="H68" s="197">
        <v>2685000</v>
      </c>
      <c r="I68" s="198">
        <v>10000</v>
      </c>
      <c r="J68" s="180"/>
      <c r="K68" s="181">
        <f t="shared" si="9"/>
        <v>0</v>
      </c>
      <c r="L68" s="182">
        <v>20000</v>
      </c>
      <c r="M68" s="183"/>
      <c r="N68" s="184">
        <f t="shared" si="10"/>
        <v>0</v>
      </c>
      <c r="O68" s="185">
        <f t="shared" si="11"/>
        <v>51634.615384615383</v>
      </c>
      <c r="P68" s="180"/>
      <c r="Q68" s="186">
        <f t="shared" si="12"/>
        <v>0</v>
      </c>
      <c r="R68" s="187">
        <f t="shared" si="13"/>
        <v>103269.23076923077</v>
      </c>
      <c r="S68" s="183"/>
      <c r="T68" s="188">
        <f t="shared" si="14"/>
        <v>0</v>
      </c>
      <c r="U68" s="189">
        <f t="shared" si="15"/>
        <v>103269.23076923077</v>
      </c>
      <c r="V68" s="180"/>
      <c r="W68" s="181">
        <f t="shared" si="16"/>
        <v>0</v>
      </c>
      <c r="X68" s="199"/>
      <c r="Y68" s="199"/>
      <c r="Z68" s="199"/>
    </row>
    <row r="69" spans="1:26">
      <c r="A69" s="192"/>
      <c r="B69" s="200" t="str">
        <v>MYL202405031</v>
      </c>
      <c r="C69" s="173" t="str">
        <v>MR NOUPHONE CHANTHAMALY</v>
      </c>
      <c r="D69" s="193">
        <v>2057025508</v>
      </c>
      <c r="E69" s="194" t="str">
        <v>Assembly SAS</v>
      </c>
      <c r="F69" s="195" t="str">
        <v>ພາຍໃນປະເທດ</v>
      </c>
      <c r="G69" s="196">
        <v>26</v>
      </c>
      <c r="H69" s="197">
        <v>2702000</v>
      </c>
      <c r="I69" s="198">
        <v>10000</v>
      </c>
      <c r="J69" s="180"/>
      <c r="K69" s="181">
        <f t="shared" si="9"/>
        <v>0</v>
      </c>
      <c r="L69" s="182">
        <v>20000</v>
      </c>
      <c r="M69" s="183"/>
      <c r="N69" s="184">
        <f t="shared" si="10"/>
        <v>0</v>
      </c>
      <c r="O69" s="185">
        <f t="shared" si="11"/>
        <v>51961.538461538461</v>
      </c>
      <c r="P69" s="180"/>
      <c r="Q69" s="186">
        <f t="shared" si="12"/>
        <v>0</v>
      </c>
      <c r="R69" s="187">
        <f t="shared" si="13"/>
        <v>103923.07692307692</v>
      </c>
      <c r="S69" s="183"/>
      <c r="T69" s="188">
        <f t="shared" si="14"/>
        <v>0</v>
      </c>
      <c r="U69" s="189">
        <f t="shared" si="15"/>
        <v>103923.07692307692</v>
      </c>
      <c r="V69" s="180"/>
      <c r="W69" s="181">
        <f t="shared" si="16"/>
        <v>0</v>
      </c>
      <c r="X69" s="199"/>
      <c r="Y69" s="199"/>
      <c r="Z69" s="199"/>
    </row>
    <row r="70" spans="1:26">
      <c r="A70" s="192"/>
      <c r="B70" s="200" t="str">
        <v>MYL202504053</v>
      </c>
      <c r="C70" s="173" t="str">
        <v>MISS SOUTSADA SOUTHALIN</v>
      </c>
      <c r="D70" s="193">
        <v>2096593001</v>
      </c>
      <c r="E70" s="194" t="str">
        <v>Assembly SAS</v>
      </c>
      <c r="F70" s="195" t="str">
        <v>ພາຍໃນປະເທດ</v>
      </c>
      <c r="G70" s="196">
        <v>26</v>
      </c>
      <c r="H70" s="197">
        <v>2600000</v>
      </c>
      <c r="I70" s="198">
        <v>10000</v>
      </c>
      <c r="J70" s="180"/>
      <c r="K70" s="181">
        <f t="shared" si="9"/>
        <v>0</v>
      </c>
      <c r="L70" s="182">
        <v>20000</v>
      </c>
      <c r="M70" s="183"/>
      <c r="N70" s="184">
        <f t="shared" si="10"/>
        <v>0</v>
      </c>
      <c r="O70" s="185">
        <f t="shared" si="11"/>
        <v>50000</v>
      </c>
      <c r="P70" s="180"/>
      <c r="Q70" s="186">
        <f t="shared" si="12"/>
        <v>0</v>
      </c>
      <c r="R70" s="187">
        <f t="shared" si="13"/>
        <v>100000</v>
      </c>
      <c r="S70" s="183"/>
      <c r="T70" s="188">
        <f t="shared" si="14"/>
        <v>0</v>
      </c>
      <c r="U70" s="189">
        <f t="shared" si="15"/>
        <v>100000</v>
      </c>
      <c r="V70" s="180"/>
      <c r="W70" s="181">
        <f t="shared" si="16"/>
        <v>0</v>
      </c>
      <c r="X70" s="199"/>
      <c r="Y70" s="199"/>
      <c r="Z70" s="199"/>
    </row>
    <row r="71" spans="1:26">
      <c r="A71" s="192"/>
      <c r="B71" s="200" t="str">
        <v>MYL202505080</v>
      </c>
      <c r="C71" s="173" t="str">
        <v>MR BOM CHANTHALATH</v>
      </c>
      <c r="D71" s="193">
        <v>2077522028</v>
      </c>
      <c r="E71" s="194" t="str">
        <v>Assembly SAS</v>
      </c>
      <c r="F71" s="195" t="str">
        <v>ພາຍໃນປະເທດ</v>
      </c>
      <c r="G71" s="196">
        <v>26</v>
      </c>
      <c r="H71" s="197">
        <v>2600000</v>
      </c>
      <c r="I71" s="198">
        <v>10000</v>
      </c>
      <c r="J71" s="180"/>
      <c r="K71" s="181">
        <f t="shared" si="9"/>
        <v>0</v>
      </c>
      <c r="L71" s="182">
        <v>20000</v>
      </c>
      <c r="M71" s="183"/>
      <c r="N71" s="184">
        <f t="shared" si="10"/>
        <v>0</v>
      </c>
      <c r="O71" s="185">
        <f t="shared" si="11"/>
        <v>50000</v>
      </c>
      <c r="P71" s="180"/>
      <c r="Q71" s="186">
        <f t="shared" si="12"/>
        <v>0</v>
      </c>
      <c r="R71" s="187">
        <f t="shared" si="13"/>
        <v>100000</v>
      </c>
      <c r="S71" s="183"/>
      <c r="T71" s="188">
        <f t="shared" si="14"/>
        <v>0</v>
      </c>
      <c r="U71" s="189">
        <f t="shared" si="15"/>
        <v>100000</v>
      </c>
      <c r="V71" s="180"/>
      <c r="W71" s="181">
        <f t="shared" si="16"/>
        <v>0</v>
      </c>
      <c r="X71" s="199"/>
      <c r="Y71" s="199"/>
      <c r="Z71" s="199"/>
    </row>
    <row r="72" spans="1:26">
      <c r="A72" s="192"/>
      <c r="B72" s="200" t="str">
        <v>MYL202505090</v>
      </c>
      <c r="C72" s="173" t="str">
        <v>MR SOUKCHAI XAISONGKHARM</v>
      </c>
      <c r="D72" s="193">
        <v>2094049929</v>
      </c>
      <c r="E72" s="194" t="str">
        <v>Assembly SAS</v>
      </c>
      <c r="F72" s="195" t="str">
        <v>ພາຍໃນປະເທດ</v>
      </c>
      <c r="G72" s="196">
        <v>26</v>
      </c>
      <c r="H72" s="197">
        <v>2500000</v>
      </c>
      <c r="I72" s="198">
        <v>10000</v>
      </c>
      <c r="J72" s="180">
        <v>2</v>
      </c>
      <c r="K72" s="181">
        <f t="shared" ref="K72:K100" si="17">I72*J72</f>
        <v>20000</v>
      </c>
      <c r="L72" s="182">
        <v>20000</v>
      </c>
      <c r="M72" s="183"/>
      <c r="N72" s="184">
        <f t="shared" ref="N72:N100" si="18">L72*M72</f>
        <v>0</v>
      </c>
      <c r="O72" s="185">
        <f t="shared" ref="O72:O80" si="19">H72/G72/2</f>
        <v>48076.923076923078</v>
      </c>
      <c r="P72" s="180"/>
      <c r="Q72" s="186">
        <f t="shared" ref="Q72:Q100" si="20">O72*P72</f>
        <v>0</v>
      </c>
      <c r="R72" s="187">
        <f t="shared" ref="R72:R80" si="21">H72/G72</f>
        <v>96153.846153846156</v>
      </c>
      <c r="S72" s="183">
        <v>5</v>
      </c>
      <c r="T72" s="188">
        <f t="shared" ref="T72:T100" si="22">R72*S72</f>
        <v>480769.23076923075</v>
      </c>
      <c r="U72" s="189">
        <f t="shared" ref="U72:U80" si="23">H72/G72</f>
        <v>96153.846153846156</v>
      </c>
      <c r="V72" s="180"/>
      <c r="W72" s="181">
        <f t="shared" ref="W72:W100" si="24">U72*V72</f>
        <v>0</v>
      </c>
      <c r="X72" s="199"/>
      <c r="Y72" s="199"/>
      <c r="Z72" s="199"/>
    </row>
    <row r="73" spans="1:26">
      <c r="A73" s="192"/>
      <c r="B73" s="200" t="str">
        <v>MYL202606161</v>
      </c>
      <c r="C73" s="173" t="str">
        <v>MR PHOUTHASONE SEELIVONGE</v>
      </c>
      <c r="D73" s="193">
        <v>2092862090</v>
      </c>
      <c r="E73" s="194" t="str">
        <v>Assembly SAS</v>
      </c>
      <c r="F73" s="195" t="str">
        <v>ພາຍໃນປະເທດ</v>
      </c>
      <c r="G73" s="196">
        <v>26</v>
      </c>
      <c r="H73" s="197">
        <v>2500000</v>
      </c>
      <c r="I73" s="198">
        <v>10000</v>
      </c>
      <c r="J73" s="180">
        <v>1</v>
      </c>
      <c r="K73" s="181">
        <f t="shared" si="17"/>
        <v>10000</v>
      </c>
      <c r="L73" s="182">
        <v>20000</v>
      </c>
      <c r="M73" s="183"/>
      <c r="N73" s="184">
        <f t="shared" si="18"/>
        <v>0</v>
      </c>
      <c r="O73" s="185">
        <f t="shared" si="19"/>
        <v>48076.923076923078</v>
      </c>
      <c r="P73" s="180"/>
      <c r="Q73" s="186">
        <f t="shared" si="20"/>
        <v>0</v>
      </c>
      <c r="R73" s="187">
        <f t="shared" si="21"/>
        <v>96153.846153846156</v>
      </c>
      <c r="S73" s="183">
        <v>2</v>
      </c>
      <c r="T73" s="188">
        <f t="shared" si="22"/>
        <v>192307.69230769231</v>
      </c>
      <c r="U73" s="189">
        <f t="shared" si="23"/>
        <v>96153.846153846156</v>
      </c>
      <c r="V73" s="180">
        <v>14</v>
      </c>
      <c r="W73" s="181">
        <f t="shared" si="24"/>
        <v>1346153.8461538462</v>
      </c>
      <c r="X73" s="199"/>
      <c r="Y73" s="199"/>
      <c r="Z73" s="199"/>
    </row>
    <row r="74" spans="1:26">
      <c r="A74" s="192"/>
      <c r="B74" s="200" t="str">
        <v>MYL202502032</v>
      </c>
      <c r="C74" s="173" t="str">
        <v>MR BAIPHONE SYTHALATH</v>
      </c>
      <c r="D74" s="193">
        <v>2092797378</v>
      </c>
      <c r="E74" s="194" t="str">
        <v>PACKING</v>
      </c>
      <c r="F74" s="195" t="str">
        <v>ພາຍໃນປະເທດ</v>
      </c>
      <c r="G74" s="196">
        <v>26</v>
      </c>
      <c r="H74" s="197">
        <v>2600000</v>
      </c>
      <c r="I74" s="198">
        <v>10000</v>
      </c>
      <c r="J74" s="180"/>
      <c r="K74" s="181">
        <f t="shared" si="17"/>
        <v>0</v>
      </c>
      <c r="L74" s="182">
        <v>20000</v>
      </c>
      <c r="M74" s="183"/>
      <c r="N74" s="184">
        <f t="shared" si="18"/>
        <v>0</v>
      </c>
      <c r="O74" s="185">
        <f t="shared" si="19"/>
        <v>50000</v>
      </c>
      <c r="P74" s="180"/>
      <c r="Q74" s="186">
        <f t="shared" si="20"/>
        <v>0</v>
      </c>
      <c r="R74" s="187">
        <f t="shared" si="21"/>
        <v>100000</v>
      </c>
      <c r="S74" s="183"/>
      <c r="T74" s="188">
        <f t="shared" si="22"/>
        <v>0</v>
      </c>
      <c r="U74" s="189">
        <f t="shared" si="23"/>
        <v>100000</v>
      </c>
      <c r="V74" s="180"/>
      <c r="W74" s="181">
        <f t="shared" si="24"/>
        <v>0</v>
      </c>
      <c r="X74" s="199"/>
      <c r="Y74" s="199"/>
      <c r="Z74" s="199"/>
    </row>
    <row r="75" spans="1:26">
      <c r="A75" s="192"/>
      <c r="B75" s="200" t="str">
        <v>MYL202503139</v>
      </c>
      <c r="C75" s="173" t="str">
        <v>MR VANHOUDONE PHOMMATHAI</v>
      </c>
      <c r="D75" s="193">
        <v>2094335180</v>
      </c>
      <c r="E75" s="194" t="str">
        <v>PACKING</v>
      </c>
      <c r="F75" s="195" t="str">
        <v>ພາຍໃນປະເທດ</v>
      </c>
      <c r="G75" s="196">
        <v>26</v>
      </c>
      <c r="H75" s="197">
        <v>2500000</v>
      </c>
      <c r="I75" s="198">
        <v>10000</v>
      </c>
      <c r="J75" s="180"/>
      <c r="K75" s="181">
        <f t="shared" si="17"/>
        <v>0</v>
      </c>
      <c r="L75" s="182">
        <v>20000</v>
      </c>
      <c r="M75" s="183"/>
      <c r="N75" s="184">
        <f t="shared" si="18"/>
        <v>0</v>
      </c>
      <c r="O75" s="185">
        <f t="shared" si="19"/>
        <v>48076.923076923078</v>
      </c>
      <c r="P75" s="180"/>
      <c r="Q75" s="186">
        <f t="shared" si="20"/>
        <v>0</v>
      </c>
      <c r="R75" s="187">
        <f t="shared" si="21"/>
        <v>96153.846153846156</v>
      </c>
      <c r="S75" s="183">
        <v>7</v>
      </c>
      <c r="T75" s="188">
        <f t="shared" si="22"/>
        <v>673076.92307692312</v>
      </c>
      <c r="U75" s="189">
        <f t="shared" si="23"/>
        <v>96153.846153846156</v>
      </c>
      <c r="V75" s="180">
        <v>12</v>
      </c>
      <c r="W75" s="181">
        <f t="shared" si="24"/>
        <v>1153846.153846154</v>
      </c>
      <c r="X75" s="199"/>
      <c r="Y75" s="199"/>
      <c r="Z75" s="199"/>
    </row>
    <row r="76" spans="1:26">
      <c r="A76" s="192"/>
      <c r="B76" s="200" t="str">
        <v>MYL000006</v>
      </c>
      <c r="C76" s="173" t="str">
        <v>MISS PHONEMANY BANPHACHA</v>
      </c>
      <c r="D76" s="193">
        <v>2099955542</v>
      </c>
      <c r="E76" s="194" t="str">
        <v>PACKING</v>
      </c>
      <c r="F76" s="195" t="str">
        <v>ພາຍໃນປະເທດ</v>
      </c>
      <c r="G76" s="196">
        <v>26</v>
      </c>
      <c r="H76" s="197">
        <v>3500000</v>
      </c>
      <c r="I76" s="198">
        <v>10000</v>
      </c>
      <c r="J76" s="180"/>
      <c r="K76" s="181">
        <f t="shared" si="17"/>
        <v>0</v>
      </c>
      <c r="L76" s="182">
        <v>20000</v>
      </c>
      <c r="M76" s="183"/>
      <c r="N76" s="184">
        <f t="shared" si="18"/>
        <v>0</v>
      </c>
      <c r="O76" s="185">
        <f t="shared" si="19"/>
        <v>67307.692307692312</v>
      </c>
      <c r="P76" s="180"/>
      <c r="Q76" s="186">
        <f t="shared" si="20"/>
        <v>0</v>
      </c>
      <c r="R76" s="187">
        <f t="shared" si="21"/>
        <v>134615.38461538462</v>
      </c>
      <c r="S76" s="183"/>
      <c r="T76" s="188">
        <f t="shared" si="22"/>
        <v>0</v>
      </c>
      <c r="U76" s="189">
        <f t="shared" si="23"/>
        <v>134615.38461538462</v>
      </c>
      <c r="V76" s="180"/>
      <c r="W76" s="181">
        <f t="shared" si="24"/>
        <v>0</v>
      </c>
      <c r="X76" s="199"/>
      <c r="Y76" s="199"/>
      <c r="Z76" s="199"/>
    </row>
    <row r="77" spans="1:26">
      <c r="A77" s="192"/>
      <c r="B77" s="200" t="str">
        <v>MYL000007</v>
      </c>
      <c r="C77" s="173" t="str">
        <v>MISS DOUANGDAO BANPHACHA</v>
      </c>
      <c r="D77" s="193">
        <v>2055302407</v>
      </c>
      <c r="E77" s="194" t="str">
        <v>PACKING</v>
      </c>
      <c r="F77" s="195" t="str">
        <v>ພາຍໃນປະເທດ</v>
      </c>
      <c r="G77" s="196">
        <v>26</v>
      </c>
      <c r="H77" s="197">
        <v>3500000</v>
      </c>
      <c r="I77" s="198">
        <v>10000</v>
      </c>
      <c r="J77" s="180"/>
      <c r="K77" s="181">
        <f t="shared" si="17"/>
        <v>0</v>
      </c>
      <c r="L77" s="182">
        <v>20000</v>
      </c>
      <c r="M77" s="183"/>
      <c r="N77" s="184">
        <f t="shared" si="18"/>
        <v>0</v>
      </c>
      <c r="O77" s="185">
        <f t="shared" si="19"/>
        <v>67307.692307692312</v>
      </c>
      <c r="P77" s="180"/>
      <c r="Q77" s="186">
        <f t="shared" si="20"/>
        <v>0</v>
      </c>
      <c r="R77" s="187">
        <f t="shared" si="21"/>
        <v>134615.38461538462</v>
      </c>
      <c r="S77" s="183"/>
      <c r="T77" s="188">
        <f t="shared" si="22"/>
        <v>0</v>
      </c>
      <c r="U77" s="189">
        <f t="shared" si="23"/>
        <v>134615.38461538462</v>
      </c>
      <c r="V77" s="180"/>
      <c r="W77" s="181">
        <f t="shared" si="24"/>
        <v>0</v>
      </c>
      <c r="X77" s="199"/>
      <c r="Y77" s="199"/>
      <c r="Z77" s="199"/>
    </row>
    <row r="78" spans="1:26">
      <c r="A78" s="192"/>
      <c r="B78" s="200" t="str">
        <v>MYL202502007</v>
      </c>
      <c r="C78" s="173" t="str">
        <v>MR CHANETHAVISAI PHATTHANA</v>
      </c>
      <c r="D78" s="193">
        <v>2094399366</v>
      </c>
      <c r="E78" s="194" t="str">
        <v>STORE TT</v>
      </c>
      <c r="F78" s="195" t="str">
        <v>ພາຍໃນປະເທດ</v>
      </c>
      <c r="G78" s="196">
        <v>26</v>
      </c>
      <c r="H78" s="197">
        <v>5445360</v>
      </c>
      <c r="I78" s="198">
        <v>10000</v>
      </c>
      <c r="J78" s="180"/>
      <c r="K78" s="181">
        <f t="shared" si="17"/>
        <v>0</v>
      </c>
      <c r="L78" s="182">
        <v>20000</v>
      </c>
      <c r="M78" s="183"/>
      <c r="N78" s="184">
        <f t="shared" si="18"/>
        <v>0</v>
      </c>
      <c r="O78" s="185">
        <f t="shared" si="19"/>
        <v>104718.46153846153</v>
      </c>
      <c r="P78" s="180"/>
      <c r="Q78" s="186">
        <f t="shared" si="20"/>
        <v>0</v>
      </c>
      <c r="R78" s="187">
        <f t="shared" si="21"/>
        <v>209436.92307692306</v>
      </c>
      <c r="S78" s="183"/>
      <c r="T78" s="188">
        <f t="shared" si="22"/>
        <v>0</v>
      </c>
      <c r="U78" s="189">
        <f t="shared" si="23"/>
        <v>209436.92307692306</v>
      </c>
      <c r="V78" s="180"/>
      <c r="W78" s="181">
        <f t="shared" si="24"/>
        <v>0</v>
      </c>
      <c r="X78" s="199"/>
      <c r="Y78" s="199"/>
      <c r="Z78" s="199"/>
    </row>
    <row r="79" spans="1:26">
      <c r="A79" s="192"/>
      <c r="B79" s="200" t="str">
        <v>MYL202410021</v>
      </c>
      <c r="C79" s="173" t="str">
        <v xml:space="preserve">MISS PANATDA </v>
      </c>
      <c r="D79" s="193">
        <v>2077880077</v>
      </c>
      <c r="E79" s="194" t="str">
        <v>STORE TT</v>
      </c>
      <c r="F79" s="195" t="str">
        <v>ພາຍໃນປະເທດ</v>
      </c>
      <c r="G79" s="196">
        <v>26</v>
      </c>
      <c r="H79" s="197">
        <v>4900824</v>
      </c>
      <c r="I79" s="198">
        <v>10000</v>
      </c>
      <c r="J79" s="180"/>
      <c r="K79" s="181">
        <f t="shared" si="17"/>
        <v>0</v>
      </c>
      <c r="L79" s="182">
        <v>20000</v>
      </c>
      <c r="M79" s="183"/>
      <c r="N79" s="184">
        <f t="shared" si="18"/>
        <v>0</v>
      </c>
      <c r="O79" s="185">
        <f t="shared" si="19"/>
        <v>94246.61538461539</v>
      </c>
      <c r="P79" s="180"/>
      <c r="Q79" s="186">
        <f t="shared" si="20"/>
        <v>0</v>
      </c>
      <c r="R79" s="187">
        <f t="shared" si="21"/>
        <v>188493.23076923078</v>
      </c>
      <c r="S79" s="183">
        <v>1</v>
      </c>
      <c r="T79" s="188">
        <f t="shared" si="22"/>
        <v>188493.23076923078</v>
      </c>
      <c r="U79" s="189">
        <f t="shared" si="23"/>
        <v>188493.23076923078</v>
      </c>
      <c r="V79" s="180"/>
      <c r="W79" s="181">
        <f t="shared" si="24"/>
        <v>0</v>
      </c>
      <c r="X79" s="199"/>
      <c r="Y79" s="199"/>
      <c r="Z79" s="199"/>
    </row>
    <row r="80" spans="1:26">
      <c r="A80" s="192"/>
      <c r="B80" s="200" t="str">
        <v>MYL202606</v>
      </c>
      <c r="C80" s="173" t="str">
        <v>MISS MAION</v>
      </c>
      <c r="D80" s="193">
        <v>2078344522</v>
      </c>
      <c r="E80" s="194" t="str">
        <v>Assembly_PTS</v>
      </c>
      <c r="F80" s="195" t="str">
        <v>ພາຍໃນປະເທດ</v>
      </c>
      <c r="G80" s="196">
        <v>26</v>
      </c>
      <c r="H80" s="197">
        <v>2500000</v>
      </c>
      <c r="I80" s="198">
        <v>10000</v>
      </c>
      <c r="J80" s="180"/>
      <c r="K80" s="181">
        <f t="shared" si="17"/>
        <v>0</v>
      </c>
      <c r="L80" s="182">
        <v>20000</v>
      </c>
      <c r="M80" s="183"/>
      <c r="N80" s="184">
        <f t="shared" si="18"/>
        <v>0</v>
      </c>
      <c r="O80" s="185">
        <f t="shared" si="19"/>
        <v>48076.923076923078</v>
      </c>
      <c r="P80" s="180"/>
      <c r="Q80" s="186">
        <f t="shared" si="20"/>
        <v>0</v>
      </c>
      <c r="R80" s="187">
        <f t="shared" si="21"/>
        <v>96153.846153846156</v>
      </c>
      <c r="S80" s="183"/>
      <c r="T80" s="188">
        <f t="shared" si="22"/>
        <v>0</v>
      </c>
      <c r="U80" s="189">
        <f t="shared" si="23"/>
        <v>96153.846153846156</v>
      </c>
      <c r="V80" s="180">
        <v>9</v>
      </c>
      <c r="W80" s="181">
        <f t="shared" si="24"/>
        <v>865384.61538461538</v>
      </c>
      <c r="X80" s="199"/>
      <c r="Y80" s="199"/>
      <c r="Z80" s="199"/>
    </row>
    <row r="81" spans="1:26">
      <c r="A81" s="192"/>
      <c r="B81" s="200"/>
      <c r="C81" s="173"/>
      <c r="D81" s="193"/>
      <c r="E81" s="194"/>
      <c r="F81" s="195"/>
      <c r="G81" s="196"/>
      <c r="H81" s="197"/>
      <c r="I81" s="198"/>
      <c r="J81" s="180"/>
      <c r="K81" s="181">
        <f t="shared" si="17"/>
        <v>0</v>
      </c>
      <c r="L81" s="182"/>
      <c r="M81" s="183"/>
      <c r="N81" s="184">
        <f t="shared" si="18"/>
        <v>0</v>
      </c>
      <c r="O81" s="185"/>
      <c r="P81" s="180"/>
      <c r="Q81" s="186">
        <f t="shared" si="20"/>
        <v>0</v>
      </c>
      <c r="R81" s="187"/>
      <c r="S81" s="183"/>
      <c r="T81" s="188">
        <f t="shared" si="22"/>
        <v>0</v>
      </c>
      <c r="U81" s="189"/>
      <c r="V81" s="180"/>
      <c r="W81" s="181">
        <f t="shared" si="24"/>
        <v>0</v>
      </c>
      <c r="X81" s="199"/>
      <c r="Y81" s="199"/>
      <c r="Z81" s="199"/>
    </row>
    <row r="82" spans="1:26">
      <c r="A82" s="192"/>
      <c r="B82" s="200"/>
      <c r="C82" s="173"/>
      <c r="D82" s="193"/>
      <c r="E82" s="194"/>
      <c r="F82" s="195"/>
      <c r="G82" s="196"/>
      <c r="H82" s="197"/>
      <c r="I82" s="198"/>
      <c r="J82" s="180"/>
      <c r="K82" s="181">
        <f t="shared" si="17"/>
        <v>0</v>
      </c>
      <c r="L82" s="182"/>
      <c r="M82" s="183"/>
      <c r="N82" s="184">
        <f t="shared" si="18"/>
        <v>0</v>
      </c>
      <c r="O82" s="185"/>
      <c r="P82" s="180"/>
      <c r="Q82" s="186">
        <f t="shared" si="20"/>
        <v>0</v>
      </c>
      <c r="R82" s="187"/>
      <c r="S82" s="183"/>
      <c r="T82" s="188">
        <f t="shared" si="22"/>
        <v>0</v>
      </c>
      <c r="U82" s="189"/>
      <c r="V82" s="180"/>
      <c r="W82" s="181">
        <f t="shared" si="24"/>
        <v>0</v>
      </c>
      <c r="X82" s="199"/>
      <c r="Y82" s="199"/>
      <c r="Z82" s="199"/>
    </row>
    <row r="83" spans="1:26">
      <c r="A83" s="192"/>
      <c r="B83" s="200"/>
      <c r="C83" s="173"/>
      <c r="D83" s="193"/>
      <c r="E83" s="194"/>
      <c r="F83" s="195"/>
      <c r="G83" s="196"/>
      <c r="H83" s="197"/>
      <c r="I83" s="198"/>
      <c r="J83" s="180"/>
      <c r="K83" s="181">
        <f t="shared" si="17"/>
        <v>0</v>
      </c>
      <c r="L83" s="182"/>
      <c r="M83" s="183"/>
      <c r="N83" s="184">
        <f t="shared" si="18"/>
        <v>0</v>
      </c>
      <c r="O83" s="185"/>
      <c r="P83" s="180"/>
      <c r="Q83" s="186">
        <f t="shared" si="20"/>
        <v>0</v>
      </c>
      <c r="R83" s="187"/>
      <c r="S83" s="183"/>
      <c r="T83" s="188">
        <f t="shared" si="22"/>
        <v>0</v>
      </c>
      <c r="U83" s="189"/>
      <c r="V83" s="180"/>
      <c r="W83" s="181">
        <f t="shared" si="24"/>
        <v>0</v>
      </c>
      <c r="X83" s="199"/>
      <c r="Y83" s="199"/>
      <c r="Z83" s="199"/>
    </row>
    <row r="84" spans="1:26">
      <c r="A84" s="192"/>
      <c r="B84" s="200"/>
      <c r="C84" s="173"/>
      <c r="D84" s="193"/>
      <c r="E84" s="194"/>
      <c r="F84" s="195"/>
      <c r="G84" s="196"/>
      <c r="H84" s="197"/>
      <c r="I84" s="198"/>
      <c r="J84" s="180"/>
      <c r="K84" s="181">
        <f t="shared" si="17"/>
        <v>0</v>
      </c>
      <c r="L84" s="182"/>
      <c r="M84" s="183"/>
      <c r="N84" s="184">
        <f t="shared" si="18"/>
        <v>0</v>
      </c>
      <c r="O84" s="185"/>
      <c r="P84" s="180"/>
      <c r="Q84" s="186">
        <f t="shared" si="20"/>
        <v>0</v>
      </c>
      <c r="R84" s="187"/>
      <c r="S84" s="183"/>
      <c r="T84" s="188">
        <f t="shared" si="22"/>
        <v>0</v>
      </c>
      <c r="U84" s="189"/>
      <c r="V84" s="180"/>
      <c r="W84" s="181">
        <f t="shared" si="24"/>
        <v>0</v>
      </c>
      <c r="X84" s="199"/>
      <c r="Y84" s="199"/>
      <c r="Z84" s="199"/>
    </row>
    <row r="85" spans="1:26">
      <c r="A85" s="192"/>
      <c r="B85" s="200"/>
      <c r="C85" s="173"/>
      <c r="D85" s="193"/>
      <c r="E85" s="194"/>
      <c r="F85" s="195"/>
      <c r="G85" s="196"/>
      <c r="H85" s="197"/>
      <c r="I85" s="198"/>
      <c r="J85" s="180"/>
      <c r="K85" s="181">
        <f t="shared" si="17"/>
        <v>0</v>
      </c>
      <c r="L85" s="182"/>
      <c r="M85" s="183"/>
      <c r="N85" s="184">
        <f t="shared" si="18"/>
        <v>0</v>
      </c>
      <c r="O85" s="185"/>
      <c r="P85" s="180"/>
      <c r="Q85" s="186">
        <f t="shared" si="20"/>
        <v>0</v>
      </c>
      <c r="R85" s="187"/>
      <c r="S85" s="183"/>
      <c r="T85" s="188">
        <f t="shared" si="22"/>
        <v>0</v>
      </c>
      <c r="U85" s="189"/>
      <c r="V85" s="180"/>
      <c r="W85" s="181">
        <f t="shared" si="24"/>
        <v>0</v>
      </c>
      <c r="X85" s="199"/>
      <c r="Y85" s="199"/>
      <c r="Z85" s="199"/>
    </row>
    <row r="86" spans="1:26">
      <c r="A86" s="192"/>
      <c r="B86" s="200"/>
      <c r="C86" s="173"/>
      <c r="D86" s="193"/>
      <c r="E86" s="194"/>
      <c r="F86" s="195"/>
      <c r="G86" s="196"/>
      <c r="H86" s="197"/>
      <c r="I86" s="198"/>
      <c r="J86" s="180"/>
      <c r="K86" s="181">
        <f t="shared" si="17"/>
        <v>0</v>
      </c>
      <c r="L86" s="182"/>
      <c r="M86" s="183"/>
      <c r="N86" s="184">
        <f t="shared" si="18"/>
        <v>0</v>
      </c>
      <c r="O86" s="185"/>
      <c r="P86" s="180"/>
      <c r="Q86" s="186">
        <f t="shared" si="20"/>
        <v>0</v>
      </c>
      <c r="R86" s="187"/>
      <c r="S86" s="183"/>
      <c r="T86" s="188">
        <f t="shared" si="22"/>
        <v>0</v>
      </c>
      <c r="U86" s="189"/>
      <c r="V86" s="180"/>
      <c r="W86" s="181">
        <f t="shared" si="24"/>
        <v>0</v>
      </c>
      <c r="X86" s="199"/>
      <c r="Y86" s="199"/>
      <c r="Z86" s="199"/>
    </row>
    <row r="87" spans="1:26">
      <c r="A87" s="192"/>
      <c r="B87" s="200"/>
      <c r="C87" s="173"/>
      <c r="D87" s="193"/>
      <c r="E87" s="194"/>
      <c r="F87" s="195"/>
      <c r="G87" s="196"/>
      <c r="H87" s="197"/>
      <c r="I87" s="198"/>
      <c r="J87" s="180"/>
      <c r="K87" s="181">
        <f t="shared" si="17"/>
        <v>0</v>
      </c>
      <c r="L87" s="182"/>
      <c r="M87" s="183"/>
      <c r="N87" s="184">
        <f t="shared" si="18"/>
        <v>0</v>
      </c>
      <c r="O87" s="185"/>
      <c r="P87" s="180"/>
      <c r="Q87" s="186">
        <f t="shared" si="20"/>
        <v>0</v>
      </c>
      <c r="R87" s="187"/>
      <c r="S87" s="183"/>
      <c r="T87" s="188">
        <f t="shared" si="22"/>
        <v>0</v>
      </c>
      <c r="U87" s="189"/>
      <c r="V87" s="180"/>
      <c r="W87" s="181">
        <f t="shared" si="24"/>
        <v>0</v>
      </c>
      <c r="X87" s="199"/>
      <c r="Y87" s="199"/>
      <c r="Z87" s="199"/>
    </row>
    <row r="88" spans="1:26">
      <c r="A88" s="192"/>
      <c r="B88" s="200"/>
      <c r="C88" s="173"/>
      <c r="D88" s="193"/>
      <c r="E88" s="194"/>
      <c r="F88" s="195"/>
      <c r="G88" s="196"/>
      <c r="H88" s="197"/>
      <c r="I88" s="198"/>
      <c r="J88" s="180"/>
      <c r="K88" s="181">
        <f t="shared" si="17"/>
        <v>0</v>
      </c>
      <c r="L88" s="182"/>
      <c r="M88" s="183"/>
      <c r="N88" s="184">
        <f t="shared" si="18"/>
        <v>0</v>
      </c>
      <c r="O88" s="185"/>
      <c r="P88" s="180"/>
      <c r="Q88" s="186">
        <f t="shared" si="20"/>
        <v>0</v>
      </c>
      <c r="R88" s="187"/>
      <c r="S88" s="183"/>
      <c r="T88" s="188">
        <f t="shared" si="22"/>
        <v>0</v>
      </c>
      <c r="U88" s="189"/>
      <c r="V88" s="180"/>
      <c r="W88" s="181">
        <f t="shared" si="24"/>
        <v>0</v>
      </c>
      <c r="X88" s="199"/>
      <c r="Y88" s="199"/>
      <c r="Z88" s="199"/>
    </row>
    <row r="89" spans="1:26">
      <c r="A89" s="192"/>
      <c r="B89" s="200"/>
      <c r="C89" s="173"/>
      <c r="D89" s="193"/>
      <c r="E89" s="194"/>
      <c r="F89" s="195"/>
      <c r="G89" s="196"/>
      <c r="H89" s="197"/>
      <c r="I89" s="198"/>
      <c r="J89" s="180"/>
      <c r="K89" s="181">
        <f t="shared" si="17"/>
        <v>0</v>
      </c>
      <c r="L89" s="182"/>
      <c r="M89" s="183"/>
      <c r="N89" s="184">
        <f t="shared" si="18"/>
        <v>0</v>
      </c>
      <c r="O89" s="185"/>
      <c r="P89" s="180"/>
      <c r="Q89" s="186">
        <f t="shared" si="20"/>
        <v>0</v>
      </c>
      <c r="R89" s="187"/>
      <c r="S89" s="183"/>
      <c r="T89" s="188">
        <f t="shared" si="22"/>
        <v>0</v>
      </c>
      <c r="U89" s="189"/>
      <c r="V89" s="180"/>
      <c r="W89" s="181">
        <f t="shared" si="24"/>
        <v>0</v>
      </c>
      <c r="X89" s="199"/>
      <c r="Y89" s="199"/>
      <c r="Z89" s="199"/>
    </row>
    <row r="90" spans="1:26">
      <c r="A90" s="192"/>
      <c r="B90" s="200"/>
      <c r="C90" s="173"/>
      <c r="D90" s="193"/>
      <c r="E90" s="194"/>
      <c r="F90" s="195"/>
      <c r="G90" s="196"/>
      <c r="H90" s="197"/>
      <c r="I90" s="198"/>
      <c r="J90" s="180"/>
      <c r="K90" s="181">
        <f t="shared" si="17"/>
        <v>0</v>
      </c>
      <c r="L90" s="182"/>
      <c r="M90" s="183"/>
      <c r="N90" s="184">
        <f t="shared" si="18"/>
        <v>0</v>
      </c>
      <c r="O90" s="185"/>
      <c r="P90" s="180"/>
      <c r="Q90" s="186">
        <f t="shared" si="20"/>
        <v>0</v>
      </c>
      <c r="R90" s="187"/>
      <c r="S90" s="183"/>
      <c r="T90" s="188">
        <f t="shared" si="22"/>
        <v>0</v>
      </c>
      <c r="U90" s="189"/>
      <c r="V90" s="180"/>
      <c r="W90" s="181">
        <f t="shared" si="24"/>
        <v>0</v>
      </c>
      <c r="X90" s="199"/>
      <c r="Y90" s="199"/>
      <c r="Z90" s="199"/>
    </row>
    <row r="91" spans="1:26">
      <c r="A91" s="192"/>
      <c r="B91" s="200"/>
      <c r="C91" s="173"/>
      <c r="D91" s="193"/>
      <c r="E91" s="194"/>
      <c r="F91" s="195"/>
      <c r="G91" s="196"/>
      <c r="H91" s="197"/>
      <c r="I91" s="198"/>
      <c r="J91" s="180"/>
      <c r="K91" s="181">
        <f t="shared" si="17"/>
        <v>0</v>
      </c>
      <c r="L91" s="182"/>
      <c r="M91" s="183"/>
      <c r="N91" s="184">
        <f t="shared" si="18"/>
        <v>0</v>
      </c>
      <c r="O91" s="185"/>
      <c r="P91" s="180"/>
      <c r="Q91" s="186">
        <f t="shared" si="20"/>
        <v>0</v>
      </c>
      <c r="R91" s="187"/>
      <c r="S91" s="183"/>
      <c r="T91" s="188">
        <f t="shared" si="22"/>
        <v>0</v>
      </c>
      <c r="U91" s="189"/>
      <c r="V91" s="180"/>
      <c r="W91" s="181">
        <f t="shared" si="24"/>
        <v>0</v>
      </c>
      <c r="X91" s="199"/>
      <c r="Y91" s="199"/>
      <c r="Z91" s="199"/>
    </row>
    <row r="92" spans="1:26">
      <c r="A92" s="192"/>
      <c r="B92" s="200"/>
      <c r="C92" s="173"/>
      <c r="D92" s="193"/>
      <c r="E92" s="194"/>
      <c r="F92" s="195"/>
      <c r="G92" s="196"/>
      <c r="H92" s="197"/>
      <c r="I92" s="198"/>
      <c r="J92" s="180"/>
      <c r="K92" s="181">
        <f t="shared" si="17"/>
        <v>0</v>
      </c>
      <c r="L92" s="182"/>
      <c r="M92" s="183"/>
      <c r="N92" s="184">
        <f t="shared" si="18"/>
        <v>0</v>
      </c>
      <c r="O92" s="185"/>
      <c r="P92" s="180"/>
      <c r="Q92" s="186">
        <f t="shared" si="20"/>
        <v>0</v>
      </c>
      <c r="R92" s="187"/>
      <c r="S92" s="183"/>
      <c r="T92" s="188">
        <f t="shared" si="22"/>
        <v>0</v>
      </c>
      <c r="U92" s="189"/>
      <c r="V92" s="180"/>
      <c r="W92" s="181">
        <f t="shared" si="24"/>
        <v>0</v>
      </c>
      <c r="X92" s="199"/>
      <c r="Y92" s="199"/>
      <c r="Z92" s="199"/>
    </row>
    <row r="93" spans="1:26">
      <c r="A93" s="192"/>
      <c r="B93" s="200"/>
      <c r="C93" s="173"/>
      <c r="D93" s="193"/>
      <c r="E93" s="194"/>
      <c r="F93" s="195"/>
      <c r="G93" s="196"/>
      <c r="H93" s="197"/>
      <c r="I93" s="198"/>
      <c r="J93" s="180"/>
      <c r="K93" s="181">
        <f t="shared" si="17"/>
        <v>0</v>
      </c>
      <c r="L93" s="182"/>
      <c r="M93" s="183"/>
      <c r="N93" s="184">
        <f t="shared" si="18"/>
        <v>0</v>
      </c>
      <c r="O93" s="185"/>
      <c r="P93" s="180"/>
      <c r="Q93" s="186">
        <f t="shared" si="20"/>
        <v>0</v>
      </c>
      <c r="R93" s="187"/>
      <c r="S93" s="183"/>
      <c r="T93" s="188">
        <f t="shared" si="22"/>
        <v>0</v>
      </c>
      <c r="U93" s="189"/>
      <c r="V93" s="180"/>
      <c r="W93" s="181">
        <f t="shared" si="24"/>
        <v>0</v>
      </c>
      <c r="X93" s="199"/>
      <c r="Y93" s="199"/>
      <c r="Z93" s="199"/>
    </row>
    <row r="94" spans="1:26">
      <c r="A94" s="192"/>
      <c r="B94" s="200"/>
      <c r="C94" s="173"/>
      <c r="D94" s="193"/>
      <c r="E94" s="194"/>
      <c r="F94" s="195"/>
      <c r="G94" s="196"/>
      <c r="H94" s="197"/>
      <c r="I94" s="198"/>
      <c r="J94" s="180"/>
      <c r="K94" s="181">
        <f t="shared" si="17"/>
        <v>0</v>
      </c>
      <c r="L94" s="182"/>
      <c r="M94" s="183"/>
      <c r="N94" s="184">
        <f t="shared" si="18"/>
        <v>0</v>
      </c>
      <c r="O94" s="185"/>
      <c r="P94" s="180"/>
      <c r="Q94" s="186">
        <f t="shared" si="20"/>
        <v>0</v>
      </c>
      <c r="R94" s="187"/>
      <c r="S94" s="183"/>
      <c r="T94" s="188">
        <f t="shared" si="22"/>
        <v>0</v>
      </c>
      <c r="U94" s="189"/>
      <c r="V94" s="180"/>
      <c r="W94" s="181">
        <f t="shared" si="24"/>
        <v>0</v>
      </c>
      <c r="X94" s="199"/>
      <c r="Y94" s="199"/>
      <c r="Z94" s="199"/>
    </row>
    <row r="95" spans="1:26">
      <c r="A95" s="192"/>
      <c r="B95" s="200"/>
      <c r="C95" s="173"/>
      <c r="D95" s="193"/>
      <c r="E95" s="194"/>
      <c r="F95" s="195"/>
      <c r="G95" s="196"/>
      <c r="H95" s="197"/>
      <c r="I95" s="198"/>
      <c r="J95" s="180"/>
      <c r="K95" s="181">
        <f t="shared" si="17"/>
        <v>0</v>
      </c>
      <c r="L95" s="182"/>
      <c r="M95" s="183"/>
      <c r="N95" s="184">
        <f t="shared" si="18"/>
        <v>0</v>
      </c>
      <c r="O95" s="185"/>
      <c r="P95" s="180"/>
      <c r="Q95" s="186">
        <f t="shared" si="20"/>
        <v>0</v>
      </c>
      <c r="R95" s="187"/>
      <c r="S95" s="183"/>
      <c r="T95" s="188">
        <f t="shared" si="22"/>
        <v>0</v>
      </c>
      <c r="U95" s="189"/>
      <c r="V95" s="180"/>
      <c r="W95" s="181">
        <f t="shared" si="24"/>
        <v>0</v>
      </c>
      <c r="X95" s="199"/>
      <c r="Y95" s="199"/>
      <c r="Z95" s="199"/>
    </row>
    <row r="96" spans="1:26">
      <c r="A96" s="192"/>
      <c r="B96" s="200"/>
      <c r="C96" s="173"/>
      <c r="D96" s="193"/>
      <c r="E96" s="194"/>
      <c r="F96" s="195"/>
      <c r="G96" s="196"/>
      <c r="H96" s="197"/>
      <c r="I96" s="198"/>
      <c r="J96" s="180"/>
      <c r="K96" s="181">
        <f t="shared" si="17"/>
        <v>0</v>
      </c>
      <c r="L96" s="182"/>
      <c r="M96" s="183"/>
      <c r="N96" s="184">
        <f t="shared" si="18"/>
        <v>0</v>
      </c>
      <c r="O96" s="185"/>
      <c r="P96" s="180"/>
      <c r="Q96" s="186">
        <f t="shared" si="20"/>
        <v>0</v>
      </c>
      <c r="R96" s="187"/>
      <c r="S96" s="183"/>
      <c r="T96" s="188">
        <f t="shared" si="22"/>
        <v>0</v>
      </c>
      <c r="U96" s="189"/>
      <c r="V96" s="180"/>
      <c r="W96" s="181">
        <f t="shared" si="24"/>
        <v>0</v>
      </c>
      <c r="X96" s="199"/>
      <c r="Y96" s="199"/>
      <c r="Z96" s="199"/>
    </row>
    <row r="97" spans="1:26">
      <c r="A97" s="192"/>
      <c r="B97" s="200"/>
      <c r="C97" s="173"/>
      <c r="D97" s="193"/>
      <c r="E97" s="194"/>
      <c r="F97" s="195"/>
      <c r="G97" s="196"/>
      <c r="H97" s="197"/>
      <c r="I97" s="198"/>
      <c r="J97" s="180"/>
      <c r="K97" s="181">
        <f t="shared" si="17"/>
        <v>0</v>
      </c>
      <c r="L97" s="182"/>
      <c r="M97" s="183"/>
      <c r="N97" s="184">
        <f t="shared" si="18"/>
        <v>0</v>
      </c>
      <c r="O97" s="185"/>
      <c r="P97" s="180"/>
      <c r="Q97" s="186">
        <f t="shared" si="20"/>
        <v>0</v>
      </c>
      <c r="R97" s="187"/>
      <c r="S97" s="183"/>
      <c r="T97" s="188">
        <f t="shared" si="22"/>
        <v>0</v>
      </c>
      <c r="U97" s="189"/>
      <c r="V97" s="180"/>
      <c r="W97" s="181">
        <f t="shared" si="24"/>
        <v>0</v>
      </c>
      <c r="X97" s="199"/>
      <c r="Y97" s="199"/>
      <c r="Z97" s="199"/>
    </row>
    <row r="98" spans="1:26">
      <c r="A98" s="192"/>
      <c r="B98" s="200"/>
      <c r="C98" s="173"/>
      <c r="D98" s="193"/>
      <c r="E98" s="194"/>
      <c r="F98" s="195"/>
      <c r="G98" s="196"/>
      <c r="H98" s="197"/>
      <c r="I98" s="198"/>
      <c r="J98" s="180"/>
      <c r="K98" s="181">
        <f t="shared" si="17"/>
        <v>0</v>
      </c>
      <c r="L98" s="182"/>
      <c r="M98" s="183"/>
      <c r="N98" s="184">
        <f t="shared" si="18"/>
        <v>0</v>
      </c>
      <c r="O98" s="185"/>
      <c r="P98" s="180"/>
      <c r="Q98" s="186">
        <f t="shared" si="20"/>
        <v>0</v>
      </c>
      <c r="R98" s="187"/>
      <c r="S98" s="183"/>
      <c r="T98" s="188">
        <f t="shared" si="22"/>
        <v>0</v>
      </c>
      <c r="U98" s="189"/>
      <c r="V98" s="180"/>
      <c r="W98" s="181">
        <f t="shared" si="24"/>
        <v>0</v>
      </c>
      <c r="X98" s="199"/>
      <c r="Y98" s="199"/>
      <c r="Z98" s="199"/>
    </row>
    <row r="99" spans="1:26">
      <c r="A99" s="192"/>
      <c r="B99" s="200"/>
      <c r="C99" s="173"/>
      <c r="D99" s="193"/>
      <c r="E99" s="194"/>
      <c r="F99" s="195"/>
      <c r="G99" s="196"/>
      <c r="H99" s="197"/>
      <c r="I99" s="198"/>
      <c r="J99" s="180"/>
      <c r="K99" s="181">
        <f t="shared" si="17"/>
        <v>0</v>
      </c>
      <c r="L99" s="182"/>
      <c r="M99" s="183"/>
      <c r="N99" s="184">
        <f t="shared" si="18"/>
        <v>0</v>
      </c>
      <c r="O99" s="185"/>
      <c r="P99" s="180"/>
      <c r="Q99" s="186">
        <f t="shared" si="20"/>
        <v>0</v>
      </c>
      <c r="R99" s="187"/>
      <c r="S99" s="183"/>
      <c r="T99" s="188">
        <f t="shared" si="22"/>
        <v>0</v>
      </c>
      <c r="U99" s="189"/>
      <c r="V99" s="180"/>
      <c r="W99" s="181">
        <f t="shared" si="24"/>
        <v>0</v>
      </c>
      <c r="X99" s="199"/>
      <c r="Y99" s="199"/>
      <c r="Z99" s="199"/>
    </row>
    <row r="100" spans="1:26">
      <c r="A100" s="192"/>
      <c r="B100" s="200"/>
      <c r="C100" s="173"/>
      <c r="D100" s="193"/>
      <c r="E100" s="194"/>
      <c r="F100" s="195"/>
      <c r="G100" s="196"/>
      <c r="H100" s="197"/>
      <c r="I100" s="198"/>
      <c r="J100" s="180"/>
      <c r="K100" s="181">
        <f t="shared" si="17"/>
        <v>0</v>
      </c>
      <c r="L100" s="182"/>
      <c r="M100" s="183"/>
      <c r="N100" s="184">
        <f t="shared" si="18"/>
        <v>0</v>
      </c>
      <c r="O100" s="185"/>
      <c r="P100" s="180"/>
      <c r="Q100" s="186">
        <f t="shared" si="20"/>
        <v>0</v>
      </c>
      <c r="R100" s="187"/>
      <c r="S100" s="183"/>
      <c r="T100" s="188">
        <f t="shared" si="22"/>
        <v>0</v>
      </c>
      <c r="U100" s="189"/>
      <c r="V100" s="180"/>
      <c r="W100" s="181">
        <f t="shared" si="24"/>
        <v>0</v>
      </c>
      <c r="X100" s="199"/>
      <c r="Y100" s="199"/>
      <c r="Z100" s="199"/>
    </row>
    <row r="101" spans="1:26" ht="17.399999999999999">
      <c r="A101" s="211" t="s">
        <v>273</v>
      </c>
      <c r="B101" s="212"/>
      <c r="C101" s="213"/>
      <c r="D101" s="213"/>
      <c r="E101" s="214"/>
      <c r="F101" s="213"/>
      <c r="G101" s="213"/>
      <c r="H101" s="215">
        <f t="shared" ref="H101:W101" si="25">SUBTOTAL(109,H8:H100)</f>
        <v>425642429.648</v>
      </c>
      <c r="I101" s="215">
        <f t="shared" si="25"/>
        <v>730000</v>
      </c>
      <c r="J101" s="215">
        <f t="shared" si="25"/>
        <v>39</v>
      </c>
      <c r="K101" s="215">
        <f t="shared" si="25"/>
        <v>390000</v>
      </c>
      <c r="L101" s="215">
        <f t="shared" si="25"/>
        <v>1460000</v>
      </c>
      <c r="M101" s="215">
        <f t="shared" si="25"/>
        <v>1</v>
      </c>
      <c r="N101" s="215">
        <f t="shared" si="25"/>
        <v>20000</v>
      </c>
      <c r="O101" s="215">
        <f t="shared" si="25"/>
        <v>8185431.3393846098</v>
      </c>
      <c r="P101" s="215">
        <f t="shared" si="25"/>
        <v>1</v>
      </c>
      <c r="Q101" s="215">
        <f t="shared" si="25"/>
        <v>50000</v>
      </c>
      <c r="R101" s="215">
        <f t="shared" si="25"/>
        <v>16370862.67876922</v>
      </c>
      <c r="S101" s="215">
        <f t="shared" si="25"/>
        <v>66.5</v>
      </c>
      <c r="T101" s="215">
        <f t="shared" si="25"/>
        <v>6925031.692307693</v>
      </c>
      <c r="U101" s="215">
        <f t="shared" si="25"/>
        <v>16370862.67876922</v>
      </c>
      <c r="V101" s="215">
        <f t="shared" si="25"/>
        <v>117</v>
      </c>
      <c r="W101" s="215">
        <f t="shared" si="25"/>
        <v>11492307.692307694</v>
      </c>
      <c r="X101" s="213"/>
      <c r="Y101" s="213"/>
      <c r="Z101" s="213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4EA72E"/>
    <pageSetUpPr fitToPage="1"/>
  </sheetPr>
  <dimension ref="A1:K120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F112" sqref="F112"/>
    </sheetView>
  </sheetViews>
  <sheetFormatPr defaultColWidth="10" defaultRowHeight="14.4"/>
  <cols>
    <col min="1" max="1" width="8.5546875" bestFit="1" customWidth="1"/>
    <col min="2" max="2" width="17.33203125" bestFit="1" customWidth="1"/>
    <col min="3" max="3" width="42.6640625" bestFit="1" customWidth="1"/>
    <col min="4" max="4" width="20.6640625" bestFit="1" customWidth="1"/>
    <col min="5" max="5" width="17" bestFit="1" customWidth="1"/>
    <col min="6" max="6" width="19.6640625" customWidth="1"/>
    <col min="7" max="7" width="18.5546875" customWidth="1"/>
    <col min="8" max="8" width="19.88671875" bestFit="1" customWidth="1"/>
    <col min="9" max="9" width="16.88671875" customWidth="1"/>
    <col min="10" max="10" width="15" bestFit="1" customWidth="1"/>
  </cols>
  <sheetData>
    <row r="1" spans="1:11" s="217" customFormat="1" ht="15.6">
      <c r="A1" s="340" t="s">
        <v>249</v>
      </c>
      <c r="B1" s="340"/>
      <c r="C1" s="340"/>
      <c r="D1" s="340"/>
      <c r="E1" s="340"/>
      <c r="F1" s="340"/>
      <c r="G1" s="340"/>
      <c r="H1" s="340"/>
      <c r="I1" s="340"/>
      <c r="J1" s="340"/>
      <c r="K1" s="216"/>
    </row>
    <row r="2" spans="1:11" s="219" customFormat="1" ht="15.6">
      <c r="A2" s="341" t="s">
        <v>250</v>
      </c>
      <c r="B2" s="341"/>
      <c r="C2" s="341"/>
      <c r="D2" s="341"/>
      <c r="E2" s="341"/>
      <c r="F2" s="341"/>
      <c r="G2" s="341"/>
      <c r="H2" s="341"/>
      <c r="I2" s="341"/>
      <c r="J2" s="341"/>
      <c r="K2" s="218"/>
    </row>
    <row r="3" spans="1:11" s="217" customFormat="1" ht="16.5" customHeight="1">
      <c r="A3" s="342" t="s">
        <v>294</v>
      </c>
      <c r="B3" s="342"/>
      <c r="C3" s="342"/>
      <c r="D3" s="73"/>
      <c r="E3" s="74" t="s">
        <v>252</v>
      </c>
      <c r="F3" s="73"/>
      <c r="G3" s="73"/>
      <c r="H3" s="73"/>
      <c r="I3" s="73"/>
      <c r="J3" s="73"/>
      <c r="K3" s="216"/>
    </row>
    <row r="4" spans="1:11" s="217" customFormat="1" ht="72.75" customHeight="1">
      <c r="A4" s="342"/>
      <c r="B4" s="342"/>
      <c r="C4" s="342"/>
      <c r="D4" s="220"/>
      <c r="E4" s="221" t="s">
        <v>295</v>
      </c>
      <c r="F4" s="222"/>
      <c r="I4" s="59"/>
      <c r="K4" s="216"/>
    </row>
    <row r="6" spans="1:11" ht="41.4">
      <c r="A6" s="223" t="s">
        <v>275</v>
      </c>
      <c r="B6" s="223" t="s">
        <v>276</v>
      </c>
      <c r="C6" s="223" t="s">
        <v>277</v>
      </c>
      <c r="D6" s="223" t="s">
        <v>296</v>
      </c>
      <c r="E6" s="224" t="s">
        <v>297</v>
      </c>
      <c r="F6" s="224" t="s">
        <v>298</v>
      </c>
      <c r="G6" s="224" t="s">
        <v>299</v>
      </c>
      <c r="H6" s="225" t="s">
        <v>300</v>
      </c>
      <c r="I6" s="226" t="s">
        <v>301</v>
      </c>
      <c r="J6" s="224" t="s">
        <v>302</v>
      </c>
    </row>
    <row r="7" spans="1:11">
      <c r="A7" s="227"/>
      <c r="B7" s="228">
        <v>1</v>
      </c>
      <c r="C7" s="228">
        <v>2</v>
      </c>
      <c r="D7" s="228">
        <v>3</v>
      </c>
      <c r="E7" s="228">
        <v>4</v>
      </c>
      <c r="F7" s="228">
        <v>5</v>
      </c>
      <c r="G7" s="228">
        <v>6</v>
      </c>
      <c r="H7" s="229" t="s">
        <v>303</v>
      </c>
      <c r="I7" s="230" t="s">
        <v>304</v>
      </c>
      <c r="J7" s="231" t="s">
        <v>305</v>
      </c>
    </row>
    <row r="8" spans="1:11" ht="15.6">
      <c r="A8" s="232"/>
      <c r="B8" s="233"/>
      <c r="C8" s="234">
        <v>65</v>
      </c>
      <c r="D8" s="235"/>
      <c r="E8" s="236">
        <f t="shared" ref="E8:J8" ca="1" si="0">SUBTOTAL(9,E9:E108)</f>
        <v>322388574.87876928</v>
      </c>
      <c r="F8" s="236">
        <f t="shared" ca="1" si="0"/>
        <v>140693549.48063082</v>
      </c>
      <c r="G8" s="236">
        <f t="shared" ca="1" si="0"/>
        <v>14000000</v>
      </c>
      <c r="H8" s="236">
        <f t="shared" ca="1" si="0"/>
        <v>449082124.3593998</v>
      </c>
      <c r="I8" s="236">
        <f t="shared" ca="1" si="0"/>
        <v>22454106.217970006</v>
      </c>
      <c r="J8" s="236">
        <f t="shared" ca="1" si="0"/>
        <v>440628018.1414302</v>
      </c>
    </row>
    <row r="9" spans="1:11">
      <c r="A9" s="237">
        <f t="array" ref="A9:A79">_xlfn.SEQUENCE(COUNTA(B9:B107))</f>
        <v>1</v>
      </c>
      <c r="B9" s="133" t="str">
        <f t="array" ref="B9:B79">_xlfn._xlws.FILTER(TAX!B7:B137,TAX!F7:F137="ພາຍໃນປະເທດ")</f>
        <v>MYL000002</v>
      </c>
      <c r="C9" s="238" t="str">
        <f t="array" ref="C9:D9">_xlfn.IFNA(VLOOKUP(B9,TAX!B:AH,{2,4},0),"")</f>
        <v>MRS Boualavanh BANPHACHA</v>
      </c>
      <c r="D9" s="239" t="str">
        <v>Deputy director 01</v>
      </c>
      <c r="E9" s="240">
        <f ca="1">SUMIF(TAX!$B$7:$B$261,B9,TAX!$H$7:$H$261)-SUMIF(TAX!$B$7:$B$261,B9,TAX!$AA$7:$AA$261)</f>
        <v>68067000</v>
      </c>
      <c r="F9" s="240">
        <f ca="1">IF(B9=(OR(0=TRUE(),""=TRUE())),0,((SUMIF(TAX!$B$7:$B$137,ເອກະສານແຈ້ງອາກອນ!B9,TAX!$AO$7:$AO$137))))</f>
        <v>0</v>
      </c>
      <c r="G9" s="240">
        <f t="shared" ref="G9:G40" ca="1" si="1">IF(E9+F9&gt;200001,200000,0)</f>
        <v>200000</v>
      </c>
      <c r="H9" s="240">
        <f t="shared" ref="H9:H40" ca="1" si="2">E9+F9-G9</f>
        <v>67867000</v>
      </c>
      <c r="I9" s="241">
        <f t="shared" ref="I9:I40" ca="1" si="3">H9*5%</f>
        <v>3393350</v>
      </c>
      <c r="J9" s="242">
        <f t="shared" ref="J9:J40" ca="1" si="4">(E9+F9)-I9</f>
        <v>64673650</v>
      </c>
    </row>
    <row r="10" spans="1:11">
      <c r="A10" s="243">
        <v>2</v>
      </c>
      <c r="B10" t="str">
        <v>MYL000003</v>
      </c>
      <c r="C10" s="238" t="str">
        <f t="array" ref="C10:D10">_xlfn.IFNA(VLOOKUP(B10,TAX!B:AH,{2,4},0),"")</f>
        <v>MRS DATSANY BANPHAXA</v>
      </c>
      <c r="D10" s="244" t="str">
        <v>Deputy director 02</v>
      </c>
      <c r="E10" s="240">
        <f ca="1">SUMIF(TAX!$B$7:$B$261,B10,TAX!$H$7:$H$261)-SUMIF(TAX!$B$7:$B$261,B10,TAX!$AA$7:$AA$261)</f>
        <v>27226800</v>
      </c>
      <c r="F10" s="240">
        <f ca="1">IF(B10=(OR(0=TRUE(),""=TRUE())),0,((SUMIF(TAX!$B$7:$B$137,ເອກະສານແຈ້ງອາກອນ!B10,TAX!$AO$7:$AO$137))))</f>
        <v>12254579.999999998</v>
      </c>
      <c r="G10" s="240">
        <f t="shared" ca="1" si="1"/>
        <v>200000</v>
      </c>
      <c r="H10" s="240">
        <f t="shared" ca="1" si="2"/>
        <v>39281380</v>
      </c>
      <c r="I10" s="241">
        <f t="shared" ca="1" si="3"/>
        <v>1964069</v>
      </c>
      <c r="J10" s="242">
        <f t="shared" ca="1" si="4"/>
        <v>37517311</v>
      </c>
    </row>
    <row r="11" spans="1:11">
      <c r="A11" s="243">
        <v>3</v>
      </c>
      <c r="B11" s="133" t="str">
        <v>MYL000004</v>
      </c>
      <c r="C11" s="238" t="str">
        <f t="array" ref="C11:D11">_xlfn.IFNA(VLOOKUP(B11,TAX!B:AH,{2,4},0),"")</f>
        <v>MISS BOUAVONE VANGVONGXAI</v>
      </c>
      <c r="D11" s="244" t="str">
        <v>Deputy director 03</v>
      </c>
      <c r="E11" s="240">
        <f ca="1">SUMIF(TAX!$B$7:$B$261,B11,TAX!$H$7:$H$261)-SUMIF(TAX!$B$7:$B$261,B11,TAX!$AA$7:$AA$261)</f>
        <v>13000000</v>
      </c>
      <c r="F11" s="240">
        <f ca="1">IF(B11=(OR(0=TRUE(),""=TRUE())),0,((SUMIF(TAX!$B$7:$B$137,ເອກະສານແຈ້ງອາກອນ!B11,TAX!$AO$7:$AO$137))))</f>
        <v>0</v>
      </c>
      <c r="G11" s="240">
        <f t="shared" ca="1" si="1"/>
        <v>200000</v>
      </c>
      <c r="H11" s="240">
        <f t="shared" ca="1" si="2"/>
        <v>12800000</v>
      </c>
      <c r="I11" s="241">
        <f t="shared" ca="1" si="3"/>
        <v>640000</v>
      </c>
      <c r="J11" s="242">
        <f t="shared" ca="1" si="4"/>
        <v>12360000</v>
      </c>
    </row>
    <row r="12" spans="1:11">
      <c r="A12" s="243">
        <v>4</v>
      </c>
      <c r="B12" s="133" t="str">
        <v>MYL202210001</v>
      </c>
      <c r="C12" s="238" t="str">
        <f t="array" ref="C12:D12">_xlfn.IFNA(VLOOKUP(B12,TAX!B:AH,{2,4},0),"")</f>
        <v>MR ANOUSACK THAMMAVONG</v>
      </c>
      <c r="D12" s="244" t="str">
        <v>Accounting</v>
      </c>
      <c r="E12" s="240">
        <f ca="1">SUMIF(TAX!$B$7:$B$261,B12,TAX!$H$7:$H$261)-SUMIF(TAX!$B$7:$B$261,B12,TAX!$AA$7:$AA$261)</f>
        <v>10000000</v>
      </c>
      <c r="F12" s="240">
        <f ca="1">IF(B12=(OR(0=TRUE(),""=TRUE())),0,((SUMIF(TAX!$B$7:$B$137,ເອກະສານແຈ້ງອາກອນ!B12,TAX!$AO$7:$AO$137))))</f>
        <v>0</v>
      </c>
      <c r="G12" s="240">
        <f t="shared" ca="1" si="1"/>
        <v>200000</v>
      </c>
      <c r="H12" s="240">
        <f t="shared" ca="1" si="2"/>
        <v>9800000</v>
      </c>
      <c r="I12" s="241">
        <f t="shared" ca="1" si="3"/>
        <v>490000</v>
      </c>
      <c r="J12" s="242">
        <f t="shared" ca="1" si="4"/>
        <v>9510000</v>
      </c>
    </row>
    <row r="13" spans="1:11">
      <c r="A13" s="243">
        <v>5</v>
      </c>
      <c r="B13" s="133" t="str">
        <v>MYL202001001</v>
      </c>
      <c r="C13" s="238" t="str">
        <f t="array" ref="C13:D13">_xlfn.IFNA(VLOOKUP(B13,TAX!B:AH,{2,4},0),"")</f>
        <v>MR SONESAVANH PHENGPHINIT</v>
      </c>
      <c r="D13" s="244" t="str">
        <v>Accounting</v>
      </c>
      <c r="E13" s="240">
        <f ca="1">SUMIF(TAX!$B$7:$B$261,B13,TAX!$H$7:$H$261)-SUMIF(TAX!$B$7:$B$261,B13,TAX!$AA$7:$AA$261)</f>
        <v>6832000</v>
      </c>
      <c r="F13" s="240">
        <f ca="1">IF(B13=(OR(0=TRUE(),""=TRUE())),0,((SUMIF(TAX!$B$7:$B$137,ເອກະສານແຈ້ງອາກອນ!B13,TAX!$AO$7:$AO$137))))</f>
        <v>0</v>
      </c>
      <c r="G13" s="240">
        <f t="shared" ca="1" si="1"/>
        <v>200000</v>
      </c>
      <c r="H13" s="240">
        <f t="shared" ca="1" si="2"/>
        <v>6632000</v>
      </c>
      <c r="I13" s="241">
        <f t="shared" ca="1" si="3"/>
        <v>331600</v>
      </c>
      <c r="J13" s="242">
        <f t="shared" ca="1" si="4"/>
        <v>6500400</v>
      </c>
    </row>
    <row r="14" spans="1:11">
      <c r="A14" s="243">
        <v>6</v>
      </c>
      <c r="B14" s="133" t="str">
        <v>MYL202408005</v>
      </c>
      <c r="C14" s="238" t="str">
        <f t="array" ref="C14:D14">_xlfn.IFNA(VLOOKUP(B14,TAX!B:AH,{2,4},0),"")</f>
        <v>MISS CHANSAMONE PHANTHALAVONG</v>
      </c>
      <c r="D14" s="244" t="str">
        <v>Planning</v>
      </c>
      <c r="E14" s="240">
        <f ca="1">SUMIF(TAX!$B$7:$B$261,B14,TAX!$H$7:$H$261)-SUMIF(TAX!$B$7:$B$261,B14,TAX!$AA$7:$AA$261)</f>
        <v>6000000</v>
      </c>
      <c r="F14" s="240">
        <f ca="1">IF(B14=(OR(0=TRUE(),""=TRUE())),0,((SUMIF(TAX!$B$7:$B$137,ເອກະສານແຈ້ງອາກອນ!B14,TAX!$AO$7:$AO$137))))</f>
        <v>2000000</v>
      </c>
      <c r="G14" s="240">
        <f t="shared" ca="1" si="1"/>
        <v>200000</v>
      </c>
      <c r="H14" s="240">
        <f t="shared" ca="1" si="2"/>
        <v>7800000</v>
      </c>
      <c r="I14" s="241">
        <f t="shared" ca="1" si="3"/>
        <v>390000</v>
      </c>
      <c r="J14" s="242">
        <f t="shared" ca="1" si="4"/>
        <v>7610000</v>
      </c>
    </row>
    <row r="15" spans="1:11">
      <c r="A15" s="243">
        <v>7</v>
      </c>
      <c r="B15" s="133" t="str">
        <v>MYT202602136</v>
      </c>
      <c r="C15" s="238" t="str">
        <f t="array" ref="C15:D15">_xlfn.IFNA(VLOOKUP(B15,TAX!B:AH,{2,4},0),"")</f>
        <v>MRS BOUANGUEN SOMCHANMAVONG</v>
      </c>
      <c r="D15" s="244" t="str">
        <v>Planning</v>
      </c>
      <c r="E15" s="240">
        <f ca="1">SUMIF(TAX!$B$7:$B$261,B15,TAX!$H$7:$H$261)-SUMIF(TAX!$B$7:$B$261,B15,TAX!$AA$7:$AA$261)</f>
        <v>4319961.538461538</v>
      </c>
      <c r="F15" s="240">
        <f ca="1">IF(B15=(OR(0=TRUE(),""=TRUE())),0,((SUMIF(TAX!$B$7:$B$137,ເອກະສານແຈ້ງອາກອນ!B15,TAX!$AO$7:$AO$137))))</f>
        <v>1392307.6923076923</v>
      </c>
      <c r="G15" s="240">
        <f t="shared" ca="1" si="1"/>
        <v>200000</v>
      </c>
      <c r="H15" s="240">
        <f t="shared" ca="1" si="2"/>
        <v>5512269.2307692301</v>
      </c>
      <c r="I15" s="241">
        <f t="shared" ca="1" si="3"/>
        <v>275613.4615384615</v>
      </c>
      <c r="J15" s="242">
        <f t="shared" ca="1" si="4"/>
        <v>5436655.7692307681</v>
      </c>
    </row>
    <row r="16" spans="1:11">
      <c r="A16" s="243">
        <v>8</v>
      </c>
      <c r="B16" s="133" t="str">
        <v>MYL202606153</v>
      </c>
      <c r="C16" s="238" t="str">
        <f t="array" ref="C16:D16">_xlfn.IFNA(VLOOKUP(B16,TAX!B:AH,{2,4},0),"")</f>
        <v>MR SEUAPA XAIYAVONG</v>
      </c>
      <c r="D16" s="244" t="str">
        <v>Planning</v>
      </c>
      <c r="E16" s="240">
        <f ca="1">SUMIF(TAX!$B$7:$B$261,B16,TAX!$H$7:$H$261)-SUMIF(TAX!$B$7:$B$261,B16,TAX!$AA$7:$AA$261)</f>
        <v>3096153.846153846</v>
      </c>
      <c r="F16" s="240">
        <f>IF(B16=(OR(0=TRUE(),""=TRUE())),0,((SUMIF(TAX!$B$7:$B$137,ເອກະສານແຈ້ງອາກອນ!B16,TAX!$AO$7:$AO$137))))</f>
        <v>0</v>
      </c>
      <c r="G16" s="240">
        <f t="shared" ca="1" si="1"/>
        <v>200000</v>
      </c>
      <c r="H16" s="240">
        <f t="shared" ca="1" si="2"/>
        <v>2896153.846153846</v>
      </c>
      <c r="I16" s="241">
        <f t="shared" ca="1" si="3"/>
        <v>144807.69230769231</v>
      </c>
      <c r="J16" s="242">
        <f t="shared" ca="1" si="4"/>
        <v>2951346.1538461535</v>
      </c>
    </row>
    <row r="17" spans="1:10">
      <c r="A17" s="243">
        <v>9</v>
      </c>
      <c r="B17" s="133" t="str">
        <v>MYL202604144</v>
      </c>
      <c r="C17" s="238" t="str">
        <f t="array" ref="C17:D17">_xlfn.IFNA(VLOOKUP(B17,TAX!B:AH,{2,4},0),"")</f>
        <v>MISS PHOSEE KIANGLANOUSIN</v>
      </c>
      <c r="D17" s="244" t="str">
        <v>OFFICE</v>
      </c>
      <c r="E17" s="240">
        <f ca="1">SUMIF(TAX!$B$7:$B$261,B17,TAX!$H$7:$H$261)-SUMIF(TAX!$B$7:$B$261,B17,TAX!$AA$7:$AA$261)</f>
        <v>3500000</v>
      </c>
      <c r="F17" s="240">
        <f ca="1">IF(B17=(OR(0=TRUE(),""=TRUE())),0,((SUMIF(TAX!$B$7:$B$137,ເອກະສານແຈ້ງອາກອນ!B17,TAX!$AO$7:$AO$137))))</f>
        <v>1400000</v>
      </c>
      <c r="G17" s="240">
        <f t="shared" ca="1" si="1"/>
        <v>200000</v>
      </c>
      <c r="H17" s="240">
        <f t="shared" ca="1" si="2"/>
        <v>4700000</v>
      </c>
      <c r="I17" s="241">
        <f t="shared" ca="1" si="3"/>
        <v>235000</v>
      </c>
      <c r="J17" s="242">
        <f t="shared" ca="1" si="4"/>
        <v>4665000</v>
      </c>
    </row>
    <row r="18" spans="1:10">
      <c r="A18" s="243">
        <v>10</v>
      </c>
      <c r="B18" s="133" t="str">
        <v>MYL201908010</v>
      </c>
      <c r="C18" s="238" t="str">
        <f t="array" ref="C18:D18">_xlfn.IFNA(VLOOKUP(B18,TAX!B:AH,{2,4},0),"")</f>
        <v>MR SAYSAMPHAN  MANEEBOTH</v>
      </c>
      <c r="D18" s="244" t="str">
        <v>Logistic Staff</v>
      </c>
      <c r="E18" s="240">
        <f ca="1">SUMIF(TAX!$B$7:$B$261,B18,TAX!$H$7:$H$261)-SUMIF(TAX!$B$7:$B$261,B18,TAX!$AA$7:$AA$261)</f>
        <v>4912000</v>
      </c>
      <c r="F18" s="240">
        <f ca="1">IF(B18=(OR(0=TRUE(),""=TRUE())),0,((SUMIF(TAX!$B$7:$B$137,ເອກະສານແຈ້ງອາກອນ!B18,TAX!$AO$7:$AO$137))))</f>
        <v>5376923.076923077</v>
      </c>
      <c r="G18" s="240">
        <f t="shared" ca="1" si="1"/>
        <v>200000</v>
      </c>
      <c r="H18" s="240">
        <f t="shared" ca="1" si="2"/>
        <v>10088923.076923076</v>
      </c>
      <c r="I18" s="241">
        <f t="shared" ca="1" si="3"/>
        <v>504446.15384615381</v>
      </c>
      <c r="J18" s="242">
        <f t="shared" ca="1" si="4"/>
        <v>9784476.9230769221</v>
      </c>
    </row>
    <row r="19" spans="1:10">
      <c r="A19" s="243">
        <v>11</v>
      </c>
      <c r="B19" s="133" t="str">
        <v>MYL202001036</v>
      </c>
      <c r="C19" s="238" t="str">
        <f t="array" ref="C19:D19">_xlfn.IFNA(VLOOKUP(B19,TAX!B:AH,{2,4},0),"")</f>
        <v>MISS JINDA BANPHACHA</v>
      </c>
      <c r="D19" s="244" t="str">
        <v>Audit</v>
      </c>
      <c r="E19" s="240">
        <f ca="1">SUMIF(TAX!$B$7:$B$261,B19,TAX!$H$7:$H$261)-SUMIF(TAX!$B$7:$B$261,B19,TAX!$AA$7:$AA$261)</f>
        <v>10550385</v>
      </c>
      <c r="F19" s="240">
        <f ca="1">IF(B19=(OR(0=TRUE(),""=TRUE())),0,((SUMIF(TAX!$B$7:$B$137,ເອກະສານແຈ້ງອາກອນ!B19,TAX!$AO$7:$AO$137))))</f>
        <v>0</v>
      </c>
      <c r="G19" s="240">
        <f t="shared" ca="1" si="1"/>
        <v>200000</v>
      </c>
      <c r="H19" s="240">
        <f t="shared" ca="1" si="2"/>
        <v>10350385</v>
      </c>
      <c r="I19" s="241">
        <f t="shared" ca="1" si="3"/>
        <v>517519.25</v>
      </c>
      <c r="J19" s="242">
        <f t="shared" ca="1" si="4"/>
        <v>10032865.75</v>
      </c>
    </row>
    <row r="20" spans="1:10">
      <c r="A20" s="243">
        <v>12</v>
      </c>
      <c r="B20" s="133" t="str">
        <v>MYL201908016</v>
      </c>
      <c r="C20" s="238" t="str">
        <f t="array" ref="C20:D20">_xlfn.IFNA(VLOOKUP(B20,TAX!B:AH,{2,4},0),"")</f>
        <v>MR AMMALIN</v>
      </c>
      <c r="D20" s="244" t="str">
        <v>Production manager 02</v>
      </c>
      <c r="E20" s="240">
        <f ca="1">SUMIF(TAX!$B$7:$B$261,B20,TAX!$H$7:$H$261)-SUMIF(TAX!$B$7:$B$261,B20,TAX!$AA$7:$AA$261)</f>
        <v>4912000</v>
      </c>
      <c r="F20" s="240">
        <f ca="1">IF(B20=(OR(0=TRUE(),""=TRUE())),0,((SUMIF(TAX!$B$7:$B$137,ເອກະສານແຈ້ງອາກອນ!B20,TAX!$AO$7:$AO$137))))</f>
        <v>5346153.846153846</v>
      </c>
      <c r="G20" s="240">
        <f t="shared" ca="1" si="1"/>
        <v>200000</v>
      </c>
      <c r="H20" s="240">
        <f t="shared" ca="1" si="2"/>
        <v>10058153.846153846</v>
      </c>
      <c r="I20" s="241">
        <f t="shared" ca="1" si="3"/>
        <v>502907.69230769231</v>
      </c>
      <c r="J20" s="242">
        <f t="shared" ca="1" si="4"/>
        <v>9755246.153846154</v>
      </c>
    </row>
    <row r="21" spans="1:10">
      <c r="A21" s="243">
        <v>13</v>
      </c>
      <c r="B21" s="133" t="str">
        <v>MYL202001049</v>
      </c>
      <c r="C21" s="238" t="str">
        <f t="array" ref="C21:D21">_xlfn.IFNA(VLOOKUP(B21,TAX!B:AH,{2,4},0),"")</f>
        <v>MR BOUNPON</v>
      </c>
      <c r="D21" s="244" t="str">
        <v>Production manager 02</v>
      </c>
      <c r="E21" s="240">
        <f ca="1">SUMIF(TAX!$B$7:$B$261,B21,TAX!$H$7:$H$261)-SUMIF(TAX!$B$7:$B$261,B21,TAX!$AA$7:$AA$261)</f>
        <v>4000000</v>
      </c>
      <c r="F21" s="240">
        <f ca="1">IF(B21=(OR(0=TRUE(),""=TRUE())),0,((SUMIF(TAX!$B$7:$B$137,ເອກະສານແຈ້ງອາກອນ!B21,TAX!$AO$7:$AO$137))))</f>
        <v>4384615.384615385</v>
      </c>
      <c r="G21" s="240">
        <f t="shared" ca="1" si="1"/>
        <v>200000</v>
      </c>
      <c r="H21" s="240">
        <f t="shared" ca="1" si="2"/>
        <v>8184615.384615385</v>
      </c>
      <c r="I21" s="241">
        <f t="shared" ca="1" si="3"/>
        <v>409230.76923076925</v>
      </c>
      <c r="J21" s="242">
        <f t="shared" ca="1" si="4"/>
        <v>7975384.615384616</v>
      </c>
    </row>
    <row r="22" spans="1:10">
      <c r="A22" s="243">
        <v>14</v>
      </c>
      <c r="B22" s="133" t="str">
        <v>MYL000009</v>
      </c>
      <c r="C22" s="238" t="str">
        <f t="array" ref="C22:D22">_xlfn.IFNA(VLOOKUP(B22,TAX!B:AH,{2,4},0),"")</f>
        <v>MR SONE</v>
      </c>
      <c r="D22" s="244" t="str">
        <v>Security Staff</v>
      </c>
      <c r="E22" s="240">
        <f ca="1">SUMIF(TAX!$B$7:$B$261,B22,TAX!$H$7:$H$261)-SUMIF(TAX!$B$7:$B$261,B22,TAX!$AA$7:$AA$261)</f>
        <v>10550385</v>
      </c>
      <c r="F22" s="240">
        <f ca="1">IF(B22=(OR(0=TRUE(),""=TRUE())),0,((SUMIF(TAX!$B$7:$B$137,ເອກະສານແຈ້ງອາກອນ!B22,TAX!$AO$7:$AO$137))))</f>
        <v>0</v>
      </c>
      <c r="G22" s="240">
        <f t="shared" ca="1" si="1"/>
        <v>200000</v>
      </c>
      <c r="H22" s="240">
        <f t="shared" ca="1" si="2"/>
        <v>10350385</v>
      </c>
      <c r="I22" s="241">
        <f t="shared" ca="1" si="3"/>
        <v>517519.25</v>
      </c>
      <c r="J22" s="242">
        <f t="shared" ca="1" si="4"/>
        <v>10032865.75</v>
      </c>
    </row>
    <row r="23" spans="1:10">
      <c r="A23" s="243">
        <v>15</v>
      </c>
      <c r="B23" s="133" t="str">
        <v>MYL202401027</v>
      </c>
      <c r="C23" s="238" t="str">
        <f t="array" ref="C23:D23">_xlfn.IFNA(VLOOKUP(B23,TAX!B:AH,{2,4},0),"")</f>
        <v>MRS NIK CHANTHANET</v>
      </c>
      <c r="D23" s="244" t="str">
        <v>Maid Staff</v>
      </c>
      <c r="E23" s="240">
        <f ca="1">SUMIF(TAX!$B$7:$B$261,B23,TAX!$H$7:$H$261)-SUMIF(TAX!$B$7:$B$261,B23,TAX!$AA$7:$AA$261)</f>
        <v>2702000</v>
      </c>
      <c r="F23" s="240">
        <f ca="1">IF(B23=(OR(0=TRUE(),""=TRUE())),0,((SUMIF(TAX!$B$7:$B$137,ເອກະສານແຈ້ງອາກອນ!B23,TAX!$AO$7:$AO$137))))</f>
        <v>1442307.6923076923</v>
      </c>
      <c r="G23" s="240">
        <f t="shared" ca="1" si="1"/>
        <v>200000</v>
      </c>
      <c r="H23" s="240">
        <f t="shared" ca="1" si="2"/>
        <v>3944307.692307692</v>
      </c>
      <c r="I23" s="241">
        <f t="shared" ca="1" si="3"/>
        <v>197215.38461538462</v>
      </c>
      <c r="J23" s="242">
        <f t="shared" ca="1" si="4"/>
        <v>3947092.3076923075</v>
      </c>
    </row>
    <row r="24" spans="1:10">
      <c r="A24" s="243">
        <v>16</v>
      </c>
      <c r="B24" s="133" t="str">
        <v>MYL201908028</v>
      </c>
      <c r="C24" s="238" t="str">
        <f t="array" ref="C24:D24">_xlfn.IFNA(VLOOKUP(B24,TAX!B:AH,{2,4},0),"")</f>
        <v>MR TERY KHAMKOUNA</v>
      </c>
      <c r="D24" s="244" t="str">
        <v>Engineering</v>
      </c>
      <c r="E24" s="240">
        <f ca="1">SUMIF(TAX!$B$7:$B$261,B24,TAX!$H$7:$H$261)-SUMIF(TAX!$B$7:$B$261,B24,TAX!$AA$7:$AA$261)</f>
        <v>4629692.307692308</v>
      </c>
      <c r="F24" s="240">
        <f ca="1">IF(B24=(OR(0=TRUE(),""=TRUE())),0,((SUMIF(TAX!$B$7:$B$137,ເອກະສານແຈ້ງອາກອນ!B24,TAX!$AO$7:$AO$137))))</f>
        <v>3869230.769230769</v>
      </c>
      <c r="G24" s="240">
        <f t="shared" ca="1" si="1"/>
        <v>200000</v>
      </c>
      <c r="H24" s="240">
        <f t="shared" ca="1" si="2"/>
        <v>8298923.0769230761</v>
      </c>
      <c r="I24" s="241">
        <f t="shared" ca="1" si="3"/>
        <v>414946.15384615381</v>
      </c>
      <c r="J24" s="242">
        <f t="shared" ca="1" si="4"/>
        <v>8083976.9230769221</v>
      </c>
    </row>
    <row r="25" spans="1:10">
      <c r="A25" s="243">
        <v>17</v>
      </c>
      <c r="B25" s="133" t="str">
        <v>MYL202507076</v>
      </c>
      <c r="C25" s="238" t="str">
        <f t="array" ref="C25:D25">_xlfn.IFNA(VLOOKUP(B25,TAX!B:AH,{2,4},0),"")</f>
        <v>MR XAYSONGKHAM SOMSANITH</v>
      </c>
      <c r="D25" s="244" t="str">
        <v>Engineering</v>
      </c>
      <c r="E25" s="240">
        <f ca="1">SUMIF(TAX!$B$7:$B$261,B25,TAX!$H$7:$H$261)-SUMIF(TAX!$B$7:$B$261,B25,TAX!$AA$7:$AA$261)</f>
        <v>4450000</v>
      </c>
      <c r="F25" s="240">
        <f ca="1">IF(B25=(OR(0=TRUE(),""=TRUE())),0,((SUMIF(TAX!$B$7:$B$137,ເອກະສານແຈ້ງອາກອນ!B25,TAX!$AO$7:$AO$137))))</f>
        <v>2900000</v>
      </c>
      <c r="G25" s="240">
        <f t="shared" ca="1" si="1"/>
        <v>200000</v>
      </c>
      <c r="H25" s="240">
        <f t="shared" ca="1" si="2"/>
        <v>7150000</v>
      </c>
      <c r="I25" s="241">
        <f t="shared" ca="1" si="3"/>
        <v>357500</v>
      </c>
      <c r="J25" s="242">
        <f t="shared" ca="1" si="4"/>
        <v>6992500</v>
      </c>
    </row>
    <row r="26" spans="1:10">
      <c r="A26" s="243">
        <v>18</v>
      </c>
      <c r="B26" s="133" t="str">
        <v>MYL201908026</v>
      </c>
      <c r="C26" s="238" t="str">
        <f t="array" ref="C26:D26">_xlfn.IFNA(VLOOKUP(B26,TAX!B:AH,{2,4},0),"")</f>
        <v>MR SONGKAN PHACHANSITTHI</v>
      </c>
      <c r="D26" s="244" t="str">
        <v>QC Manager 02</v>
      </c>
      <c r="E26" s="240">
        <f ca="1">SUMIF(TAX!$B$7:$B$261,B26,TAX!$H$7:$H$261)-SUMIF(TAX!$B$7:$B$261,B26,TAX!$AA$7:$AA$261)</f>
        <v>4000000</v>
      </c>
      <c r="F26" s="240">
        <f ca="1">IF(B26=(OR(0=TRUE(),""=TRUE())),0,((SUMIF(TAX!$B$7:$B$137,ເອກະສານແຈ້ງອາກອນ!B26,TAX!$AO$7:$AO$137))))</f>
        <v>4361538.461538462</v>
      </c>
      <c r="G26" s="240">
        <f t="shared" ca="1" si="1"/>
        <v>200000</v>
      </c>
      <c r="H26" s="240">
        <f t="shared" ca="1" si="2"/>
        <v>8161538.461538462</v>
      </c>
      <c r="I26" s="241">
        <f t="shared" ca="1" si="3"/>
        <v>408076.92307692312</v>
      </c>
      <c r="J26" s="242">
        <f t="shared" ca="1" si="4"/>
        <v>7953461.538461539</v>
      </c>
    </row>
    <row r="27" spans="1:10">
      <c r="A27" s="243">
        <v>19</v>
      </c>
      <c r="B27" s="133" t="str">
        <v>MYL202504064</v>
      </c>
      <c r="C27" s="238" t="str">
        <f t="array" ref="C27:D27">_xlfn.IFNA(VLOOKUP(B27,TAX!B:AH,{2,4},0),"")</f>
        <v>MISS NALIN SYHALATH</v>
      </c>
      <c r="D27" s="244" t="str">
        <v>QC PTS</v>
      </c>
      <c r="E27" s="240">
        <f ca="1">SUMIF(TAX!$B$7:$B$261,B27,TAX!$H$7:$H$261)-SUMIF(TAX!$B$7:$B$261,B27,TAX!$AA$7:$AA$261)</f>
        <v>2380000</v>
      </c>
      <c r="F27" s="240">
        <f ca="1">IF(B27=(OR(0=TRUE(),""=TRUE())),0,((SUMIF(TAX!$B$7:$B$137,ເອກະສານແຈ້ງອາກອນ!B27,TAX!$AO$7:$AO$137))))</f>
        <v>1384615.3846153845</v>
      </c>
      <c r="G27" s="240">
        <f t="shared" ca="1" si="1"/>
        <v>200000</v>
      </c>
      <c r="H27" s="240">
        <f t="shared" ca="1" si="2"/>
        <v>3564615.3846153845</v>
      </c>
      <c r="I27" s="241">
        <f t="shared" ca="1" si="3"/>
        <v>178230.76923076925</v>
      </c>
      <c r="J27" s="242">
        <f t="shared" ca="1" si="4"/>
        <v>3586384.615384615</v>
      </c>
    </row>
    <row r="28" spans="1:10">
      <c r="A28" s="243">
        <v>20</v>
      </c>
      <c r="B28" s="133" t="str">
        <v>MYL202606160</v>
      </c>
      <c r="C28" s="238" t="str">
        <f t="array" ref="C28:D28">_xlfn.IFNA(VLOOKUP(B28,TAX!B:AH,{2,4},0),"")</f>
        <v>MISS LAMPHAI THUMMAVONGE</v>
      </c>
      <c r="D28" s="244" t="str">
        <v>QC SAS</v>
      </c>
      <c r="E28" s="240">
        <f ca="1">SUMIF(TAX!$B$7:$B$261,B28,TAX!$H$7:$H$261)-SUMIF(TAX!$B$7:$B$261,B28,TAX!$AA$7:$AA$261)</f>
        <v>951538.4615384615</v>
      </c>
      <c r="F28" s="240">
        <f>IF(B28=(OR(0=TRUE(),""=TRUE())),0,((SUMIF(TAX!$B$7:$B$137,ເອກະສານແຈ້ງອາກອນ!B28,TAX!$AO$7:$AO$137))))</f>
        <v>0</v>
      </c>
      <c r="G28" s="240">
        <f t="shared" ca="1" si="1"/>
        <v>200000</v>
      </c>
      <c r="H28" s="240">
        <f t="shared" ca="1" si="2"/>
        <v>751538.4615384615</v>
      </c>
      <c r="I28" s="241">
        <f t="shared" ca="1" si="3"/>
        <v>37576.923076923078</v>
      </c>
      <c r="J28" s="242">
        <f t="shared" ca="1" si="4"/>
        <v>913961.53846153838</v>
      </c>
    </row>
    <row r="29" spans="1:10">
      <c r="A29" s="243">
        <v>21</v>
      </c>
      <c r="B29" s="133" t="str">
        <v>MYL202301037</v>
      </c>
      <c r="C29" s="238" t="str">
        <f t="array" ref="C29:D29">_xlfn.IFNA(VLOOKUP(B29,TAX!B:AH,{2,4},0),"")</f>
        <v>MRS PHOULATSAMY SETTHATHILATH</v>
      </c>
      <c r="D29" s="244" t="str">
        <v>STORE PTS</v>
      </c>
      <c r="E29" s="240">
        <f ca="1">SUMIF(TAX!$B$7:$B$261,B29,TAX!$H$7:$H$261)-SUMIF(TAX!$B$7:$B$261,B29,TAX!$AA$7:$AA$261)</f>
        <v>3212000</v>
      </c>
      <c r="F29" s="240">
        <f ca="1">IF(B29=(OR(0=TRUE(),""=TRUE())),0,((SUMIF(TAX!$B$7:$B$137,ເອກະສານແຈ້ງອາກອນ!B29,TAX!$AO$7:$AO$137))))</f>
        <v>2200000</v>
      </c>
      <c r="G29" s="240">
        <f t="shared" ca="1" si="1"/>
        <v>200000</v>
      </c>
      <c r="H29" s="240">
        <f t="shared" ca="1" si="2"/>
        <v>5212000</v>
      </c>
      <c r="I29" s="241">
        <f t="shared" ca="1" si="3"/>
        <v>260600</v>
      </c>
      <c r="J29" s="242">
        <f t="shared" ca="1" si="4"/>
        <v>5151400</v>
      </c>
    </row>
    <row r="30" spans="1:10">
      <c r="A30" s="243">
        <v>22</v>
      </c>
      <c r="B30" s="133" t="str">
        <v>MYT202602133</v>
      </c>
      <c r="C30" s="238" t="str">
        <f t="array" ref="C30:D30">_xlfn.IFNA(VLOOKUP(B30,TAX!B:AH,{2,4},0),"")</f>
        <v>MR BOUNTHAVY KOMKAIYASONE</v>
      </c>
      <c r="D30" s="244" t="str">
        <v>STORE PTS</v>
      </c>
      <c r="E30" s="240">
        <f ca="1">SUMIF(TAX!$B$7:$B$261,B30,TAX!$H$7:$H$261)-SUMIF(TAX!$B$7:$B$261,B30,TAX!$AA$7:$AA$261)</f>
        <v>2400000</v>
      </c>
      <c r="F30" s="240">
        <f ca="1">IF(B30=(OR(0=TRUE(),""=TRUE())),0,((SUMIF(TAX!$B$7:$B$137,ເອກະສານແຈ້ງອາກອນ!B30,TAX!$AO$7:$AO$137))))</f>
        <v>1569230.7692307692</v>
      </c>
      <c r="G30" s="240">
        <f t="shared" ca="1" si="1"/>
        <v>200000</v>
      </c>
      <c r="H30" s="240">
        <f t="shared" ca="1" si="2"/>
        <v>3769230.769230769</v>
      </c>
      <c r="I30" s="241">
        <f t="shared" ca="1" si="3"/>
        <v>188461.53846153847</v>
      </c>
      <c r="J30" s="242">
        <f t="shared" ca="1" si="4"/>
        <v>3780769.2307692305</v>
      </c>
    </row>
    <row r="31" spans="1:10">
      <c r="A31" s="243">
        <v>23</v>
      </c>
      <c r="B31" s="133" t="str">
        <v>MYL202404006</v>
      </c>
      <c r="C31" s="238" t="str">
        <f t="array" ref="C31:D31">_xlfn.IFNA(VLOOKUP(B31,TAX!B:AH,{2,4},0),"")</f>
        <v>MR SENGMANY PHATTHANA</v>
      </c>
      <c r="D31" s="244" t="str">
        <v>STORE OTS</v>
      </c>
      <c r="E31" s="240">
        <f ca="1">SUMIF(TAX!$B$7:$B$261,B31,TAX!$H$7:$H$261)-SUMIF(TAX!$B$7:$B$261,B31,TAX!$AA$7:$AA$261)</f>
        <v>2792307.6923076925</v>
      </c>
      <c r="F31" s="240">
        <f ca="1">IF(B31=(OR(0=TRUE(),""=TRUE())),0,((SUMIF(TAX!$B$7:$B$137,ເອກະສານແຈ້ງອາກອນ!B31,TAX!$AO$7:$AO$137))))</f>
        <v>2479519.2307692305</v>
      </c>
      <c r="G31" s="240">
        <f t="shared" ca="1" si="1"/>
        <v>200000</v>
      </c>
      <c r="H31" s="240">
        <f t="shared" ca="1" si="2"/>
        <v>5071826.923076923</v>
      </c>
      <c r="I31" s="241">
        <f t="shared" ca="1" si="3"/>
        <v>253591.34615384616</v>
      </c>
      <c r="J31" s="242">
        <f t="shared" ca="1" si="4"/>
        <v>5018235.576923077</v>
      </c>
    </row>
    <row r="32" spans="1:10">
      <c r="A32" s="243">
        <v>24</v>
      </c>
      <c r="B32" s="133" t="str">
        <v>MYL202601128</v>
      </c>
      <c r="C32" s="238" t="str">
        <f t="array" ref="C32:D32">_xlfn.IFNA(VLOOKUP(B32,TAX!B:AH,{2,4},0),"")</f>
        <v>MR KHAMPHASITH XAYYAJACK</v>
      </c>
      <c r="D32" s="244" t="str">
        <v>STORE OTS</v>
      </c>
      <c r="E32" s="240">
        <f ca="1">SUMIF(TAX!$B$7:$B$261,B32,TAX!$H$7:$H$261)-SUMIF(TAX!$B$7:$B$261,B32,TAX!$AA$7:$AA$261)</f>
        <v>1400000</v>
      </c>
      <c r="F32" s="240">
        <f ca="1">IF(B32=(OR(0=TRUE(),""=TRUE())),0,((SUMIF(TAX!$B$7:$B$137,ເອກະສານແຈ້ງອາກອນ!B32,TAX!$AO$7:$AO$137))))</f>
        <v>775961.5384615385</v>
      </c>
      <c r="G32" s="240">
        <f t="shared" ca="1" si="1"/>
        <v>200000</v>
      </c>
      <c r="H32" s="240">
        <f t="shared" ca="1" si="2"/>
        <v>1975961.5384615385</v>
      </c>
      <c r="I32" s="241">
        <f t="shared" ca="1" si="3"/>
        <v>98798.076923076937</v>
      </c>
      <c r="J32" s="242">
        <f t="shared" ca="1" si="4"/>
        <v>2077163.4615384615</v>
      </c>
    </row>
    <row r="33" spans="1:10">
      <c r="A33" s="243">
        <v>25</v>
      </c>
      <c r="B33" s="133" t="str">
        <v>MYL202606162</v>
      </c>
      <c r="C33" s="238" t="str">
        <f t="array" ref="C33:D33">_xlfn.IFNA(VLOOKUP(B33,TAX!B:AH,{2,4},0),"")</f>
        <v>MISS KHONESAVANH CHANTHALAY</v>
      </c>
      <c r="D33" s="244" t="str">
        <v>STORE OTS</v>
      </c>
      <c r="E33" s="240">
        <f ca="1">SUMIF(TAX!$B$7:$B$261,B33,TAX!$H$7:$H$261)-SUMIF(TAX!$B$7:$B$261,B33,TAX!$AA$7:$AA$261)</f>
        <v>1153846.1538461538</v>
      </c>
      <c r="F33" s="240">
        <f>IF(B33=(OR(0=TRUE(),""=TRUE())),0,((SUMIF(TAX!$B$7:$B$137,ເອກະສານແຈ້ງອາກອນ!B33,TAX!$AO$7:$AO$137))))</f>
        <v>0</v>
      </c>
      <c r="G33" s="240">
        <f t="shared" ca="1" si="1"/>
        <v>200000</v>
      </c>
      <c r="H33" s="240">
        <f t="shared" ca="1" si="2"/>
        <v>953846.15384615376</v>
      </c>
      <c r="I33" s="241">
        <f t="shared" ca="1" si="3"/>
        <v>47692.307692307688</v>
      </c>
      <c r="J33" s="242">
        <f t="shared" ca="1" si="4"/>
        <v>1106153.846153846</v>
      </c>
    </row>
    <row r="34" spans="1:10">
      <c r="A34" s="243">
        <v>26</v>
      </c>
      <c r="B34" s="133" t="str">
        <v>MYL202001035</v>
      </c>
      <c r="C34" s="238" t="str">
        <f t="array" ref="C34:D34">_xlfn.IFNA(VLOOKUP(B34,TAX!B:AH,{2,4},0),"")</f>
        <v>MRS TOUKTA  PONGSIMMALY</v>
      </c>
      <c r="D34" s="244" t="str">
        <v>STORE SAS</v>
      </c>
      <c r="E34" s="240">
        <f ca="1">SUMIF(TAX!$B$7:$B$261,B34,TAX!$H$7:$H$261)-SUMIF(TAX!$B$7:$B$261,B34,TAX!$AA$7:$AA$261)</f>
        <v>3212000</v>
      </c>
      <c r="F34" s="240">
        <f ca="1">IF(B34=(OR(0=TRUE(),""=TRUE())),0,((SUMIF(TAX!$B$7:$B$137,ເອກະສານແຈ້ງອາກອນ!B34,TAX!$AO$7:$AO$137))))</f>
        <v>3073798.076923077</v>
      </c>
      <c r="G34" s="240">
        <f t="shared" ca="1" si="1"/>
        <v>200000</v>
      </c>
      <c r="H34" s="240">
        <f t="shared" ca="1" si="2"/>
        <v>6085798.076923077</v>
      </c>
      <c r="I34" s="241">
        <f t="shared" ca="1" si="3"/>
        <v>304289.90384615387</v>
      </c>
      <c r="J34" s="242">
        <f t="shared" ca="1" si="4"/>
        <v>5981508.173076923</v>
      </c>
    </row>
    <row r="35" spans="1:10">
      <c r="A35" s="243">
        <v>27</v>
      </c>
      <c r="B35" s="133" t="str">
        <v>MYL202605151</v>
      </c>
      <c r="C35" s="238" t="str">
        <f t="array" ref="C35:D35">_xlfn.IFNA(VLOOKUP(B35,TAX!B:AH,{2,4},0),"")</f>
        <v>MR SOULIYA</v>
      </c>
      <c r="D35" s="244" t="str">
        <v>STORE SAS</v>
      </c>
      <c r="E35" s="240">
        <f ca="1">SUMIF(TAX!$B$7:$B$261,B35,TAX!$H$7:$H$261)-SUMIF(TAX!$B$7:$B$261,B35,TAX!$AA$7:$AA$261)</f>
        <v>650000</v>
      </c>
      <c r="F35" s="240">
        <f ca="1">IF(B35=(OR(0=TRUE(),""=TRUE())),0,((SUMIF(TAX!$B$7:$B$137,ເອກະສານແຈ້ງອາກອນ!B35,TAX!$AO$7:$AO$137))))</f>
        <v>486538.46153846162</v>
      </c>
      <c r="G35" s="240">
        <f t="shared" ca="1" si="1"/>
        <v>200000</v>
      </c>
      <c r="H35" s="240">
        <f t="shared" ca="1" si="2"/>
        <v>936538.4615384615</v>
      </c>
      <c r="I35" s="241">
        <f t="shared" ca="1" si="3"/>
        <v>46826.923076923078</v>
      </c>
      <c r="J35" s="242">
        <f t="shared" ca="1" si="4"/>
        <v>1089711.5384615385</v>
      </c>
    </row>
    <row r="36" spans="1:10">
      <c r="A36" s="243">
        <v>28</v>
      </c>
      <c r="B36" s="133" t="str">
        <v>MYL202201050</v>
      </c>
      <c r="C36" s="238" t="str">
        <f t="array" ref="C36:D36">_xlfn.IFNA(VLOOKUP(B36,TAX!B:AH,{2,4},0),"")</f>
        <v>MR TOUTONNAM KHOUNSAVANH</v>
      </c>
      <c r="D36" s="244" t="str">
        <v>Welding  PTS</v>
      </c>
      <c r="E36" s="240">
        <f ca="1">SUMIF(TAX!$B$7:$B$261,B36,TAX!$H$7:$H$261)-SUMIF(TAX!$B$7:$B$261,B36,TAX!$AA$7:$AA$261)</f>
        <v>3290000</v>
      </c>
      <c r="F36" s="240">
        <f ca="1">IF(B36=(OR(0=TRUE(),""=TRUE())),0,((SUMIF(TAX!$B$7:$B$137,ເອກະສານແຈ້ງອາກອນ!B36,TAX!$AO$7:$AO$137))))</f>
        <v>3295000</v>
      </c>
      <c r="G36" s="240">
        <f t="shared" ca="1" si="1"/>
        <v>200000</v>
      </c>
      <c r="H36" s="240">
        <f t="shared" ca="1" si="2"/>
        <v>6385000</v>
      </c>
      <c r="I36" s="241">
        <f t="shared" ca="1" si="3"/>
        <v>319250</v>
      </c>
      <c r="J36" s="242">
        <f t="shared" ca="1" si="4"/>
        <v>6265750</v>
      </c>
    </row>
    <row r="37" spans="1:10">
      <c r="A37" s="243">
        <v>29</v>
      </c>
      <c r="B37" s="133" t="str">
        <v>MYL202502061</v>
      </c>
      <c r="C37" s="238" t="str">
        <f t="array" ref="C37:D37">_xlfn.IFNA(VLOOKUP(B37,TAX!B:AH,{2,4},0),"")</f>
        <v>MR KHONESAVANH SYTHAVONG</v>
      </c>
      <c r="D37" s="244" t="str">
        <v>Welding  PTS</v>
      </c>
      <c r="E37" s="240">
        <f ca="1">SUMIF(TAX!$B$7:$B$261,B37,TAX!$H$7:$H$261)-SUMIF(TAX!$B$7:$B$261,B37,TAX!$AA$7:$AA$261)</f>
        <v>1700000</v>
      </c>
      <c r="F37" s="240">
        <f ca="1">IF(B37=(OR(0=TRUE(),""=TRUE())),0,((SUMIF(TAX!$B$7:$B$137,ເອກະສານແຈ້ງອາກອນ!B37,TAX!$AO$7:$AO$137))))</f>
        <v>1541346.153846154</v>
      </c>
      <c r="G37" s="240">
        <f t="shared" ca="1" si="1"/>
        <v>200000</v>
      </c>
      <c r="H37" s="240">
        <f t="shared" ca="1" si="2"/>
        <v>3041346.153846154</v>
      </c>
      <c r="I37" s="241">
        <f t="shared" ca="1" si="3"/>
        <v>152067.30769230772</v>
      </c>
      <c r="J37" s="242">
        <f t="shared" ca="1" si="4"/>
        <v>3089278.8461538465</v>
      </c>
    </row>
    <row r="38" spans="1:10">
      <c r="A38" s="243">
        <v>30</v>
      </c>
      <c r="B38" s="133" t="str">
        <v>MYL202504072</v>
      </c>
      <c r="C38" s="238" t="str">
        <f t="array" ref="C38:D38">_xlfn.IFNA(VLOOKUP(B38,TAX!B:AH,{2,4},0),"")</f>
        <v>MR BACKHAM XAISONGKHAM</v>
      </c>
      <c r="D38" s="244" t="str">
        <v>Welding  PTS</v>
      </c>
      <c r="E38" s="240">
        <f ca="1">SUMIF(TAX!$B$7:$B$261,B38,TAX!$H$7:$H$261)-SUMIF(TAX!$B$7:$B$261,B38,TAX!$AA$7:$AA$261)</f>
        <v>2600000</v>
      </c>
      <c r="F38" s="240">
        <f ca="1">IF(B38=(OR(0=TRUE(),""=TRUE())),0,((SUMIF(TAX!$B$7:$B$137,ເອກະສານແຈ້ງອາກອນ!B38,TAX!$AO$7:$AO$137))))</f>
        <v>2709230.769230769</v>
      </c>
      <c r="G38" s="240">
        <f t="shared" ca="1" si="1"/>
        <v>200000</v>
      </c>
      <c r="H38" s="240">
        <f t="shared" ca="1" si="2"/>
        <v>5109230.769230769</v>
      </c>
      <c r="I38" s="241">
        <f t="shared" ca="1" si="3"/>
        <v>255461.53846153847</v>
      </c>
      <c r="J38" s="242">
        <f t="shared" ca="1" si="4"/>
        <v>5053769.230769231</v>
      </c>
    </row>
    <row r="39" spans="1:10">
      <c r="A39" s="243">
        <v>31</v>
      </c>
      <c r="B39" s="133" t="str">
        <v>MYL202509108</v>
      </c>
      <c r="C39" s="238" t="str">
        <f t="array" ref="C39:D39">_xlfn.IFNA(VLOOKUP(B39,TAX!B:AH,{2,4},0),"")</f>
        <v>MR SEEVA  PONGSIMMALY</v>
      </c>
      <c r="D39" s="244" t="str">
        <v>Welding  PTS</v>
      </c>
      <c r="E39" s="240">
        <f ca="1">SUMIF(TAX!$B$7:$B$261,B39,TAX!$H$7:$H$261)-SUMIF(TAX!$B$7:$B$261,B39,TAX!$AA$7:$AA$261)</f>
        <v>2600000</v>
      </c>
      <c r="F39" s="240">
        <f ca="1">IF(B39=(OR(0=TRUE(),""=TRUE())),0,((SUMIF(TAX!$B$7:$B$137,ເອກະສານແຈ້ງອາກອນ!B39,TAX!$AO$7:$AO$137))))</f>
        <v>2740000</v>
      </c>
      <c r="G39" s="240">
        <f t="shared" ca="1" si="1"/>
        <v>200000</v>
      </c>
      <c r="H39" s="240">
        <f t="shared" ca="1" si="2"/>
        <v>5140000</v>
      </c>
      <c r="I39" s="241">
        <f t="shared" ca="1" si="3"/>
        <v>257000</v>
      </c>
      <c r="J39" s="242">
        <f t="shared" ca="1" si="4"/>
        <v>5083000</v>
      </c>
    </row>
    <row r="40" spans="1:10">
      <c r="A40" s="243">
        <v>32</v>
      </c>
      <c r="B40" s="133" t="str">
        <v>MYL202509109</v>
      </c>
      <c r="C40" s="238" t="str">
        <f t="array" ref="C40:D40">_xlfn.IFNA(VLOOKUP(B40,TAX!B:AH,{2,4},0),"")</f>
        <v>MR YOD CHAMPA</v>
      </c>
      <c r="D40" s="244" t="str">
        <v>Welding  PTS</v>
      </c>
      <c r="E40" s="240">
        <f ca="1">SUMIF(TAX!$B$7:$B$261,B40,TAX!$H$7:$H$261)-SUMIF(TAX!$B$7:$B$261,B40,TAX!$AA$7:$AA$261)</f>
        <v>2440000</v>
      </c>
      <c r="F40" s="240">
        <f ca="1">IF(B40=(OR(0=TRUE(),""=TRUE())),0,((SUMIF(TAX!$B$7:$B$137,ເອກະສານແຈ້ງອາກອນ!B40,TAX!$AO$7:$AO$137))))</f>
        <v>2429038.4615384615</v>
      </c>
      <c r="G40" s="240">
        <f t="shared" ca="1" si="1"/>
        <v>200000</v>
      </c>
      <c r="H40" s="240">
        <f t="shared" ca="1" si="2"/>
        <v>4669038.461538462</v>
      </c>
      <c r="I40" s="241">
        <f t="shared" ca="1" si="3"/>
        <v>233451.92307692312</v>
      </c>
      <c r="J40" s="242">
        <f t="shared" ca="1" si="4"/>
        <v>4635586.538461539</v>
      </c>
    </row>
    <row r="41" spans="1:10">
      <c r="A41" s="243">
        <v>33</v>
      </c>
      <c r="B41" s="133" t="str">
        <v>MYT202604143</v>
      </c>
      <c r="C41" s="238" t="str">
        <f t="array" ref="C41:D41">_xlfn.IFNA(VLOOKUP(B41,TAX!B:AH,{2,4},0),"")</f>
        <v>MR BOUNSAVATH PHETKHAMBOONHUEANG</v>
      </c>
      <c r="D41" s="244" t="str">
        <v>Welding  PTS</v>
      </c>
      <c r="E41" s="240">
        <f ca="1">SUMIF(TAX!$B$7:$B$261,B41,TAX!$H$7:$H$261)-SUMIF(TAX!$B$7:$B$261,B41,TAX!$AA$7:$AA$261)</f>
        <v>2403846.153846154</v>
      </c>
      <c r="F41" s="240">
        <f ca="1">IF(B41=(OR(0=TRUE(),""=TRUE())),0,((SUMIF(TAX!$B$7:$B$137,ເອກະສານແຈ້ງອາກອນ!B41,TAX!$AO$7:$AO$137))))</f>
        <v>1780769.230769231</v>
      </c>
      <c r="G41" s="240">
        <f t="shared" ref="G41:G72" ca="1" si="5">IF(E41+F41&gt;200001,200000,0)</f>
        <v>200000</v>
      </c>
      <c r="H41" s="240">
        <f t="shared" ref="H41:H72" ca="1" si="6">E41+F41-G41</f>
        <v>3984615.384615385</v>
      </c>
      <c r="I41" s="241">
        <f t="shared" ref="I41:I72" ca="1" si="7">H41*5%</f>
        <v>199230.76923076925</v>
      </c>
      <c r="J41" s="242">
        <f t="shared" ref="J41:J72" ca="1" si="8">(E41+F41)-I41</f>
        <v>3985384.615384616</v>
      </c>
    </row>
    <row r="42" spans="1:10">
      <c r="A42" s="243">
        <v>34</v>
      </c>
      <c r="B42" s="133" t="str">
        <v>MYL202405041</v>
      </c>
      <c r="C42" s="238" t="str">
        <f t="array" ref="C42:D42">_xlfn.IFNA(VLOOKUP(B42,TAX!B:AH,{2,4},0),"")</f>
        <v>MR BOUNXUEN SISOMBOUN</v>
      </c>
      <c r="D42" s="244" t="str">
        <v>Welding OTS 1</v>
      </c>
      <c r="E42" s="240">
        <f ca="1">SUMIF(TAX!$B$7:$B$261,B42,TAX!$H$7:$H$261)-SUMIF(TAX!$B$7:$B$261,B42,TAX!$AA$7:$AA$261)</f>
        <v>2702000</v>
      </c>
      <c r="F42" s="240">
        <f ca="1">IF(B42=(OR(0=TRUE(),""=TRUE())),0,((SUMIF(TAX!$B$7:$B$137,ເອກະສານແຈ້ງອາກອນ!B42,TAX!$AO$7:$AO$137))))</f>
        <v>2904689.423076923</v>
      </c>
      <c r="G42" s="240">
        <f t="shared" ca="1" si="5"/>
        <v>200000</v>
      </c>
      <c r="H42" s="240">
        <f t="shared" ca="1" si="6"/>
        <v>5406689.423076923</v>
      </c>
      <c r="I42" s="241">
        <f t="shared" ca="1" si="7"/>
        <v>270334.47115384619</v>
      </c>
      <c r="J42" s="242">
        <f t="shared" ca="1" si="8"/>
        <v>5336354.951923077</v>
      </c>
    </row>
    <row r="43" spans="1:10">
      <c r="A43" s="243">
        <v>35</v>
      </c>
      <c r="B43" s="133" t="str">
        <v>MYL202503042</v>
      </c>
      <c r="C43" s="238" t="str">
        <f t="array" ref="C43:D43">_xlfn.IFNA(VLOOKUP(B43,TAX!B:AH,{2,4},0),"")</f>
        <v>MR PHOLIYA</v>
      </c>
      <c r="D43" s="244" t="str">
        <v>Welding OTS 1</v>
      </c>
      <c r="E43" s="240">
        <f ca="1">SUMIF(TAX!$B$7:$B$261,B43,TAX!$H$7:$H$261)-SUMIF(TAX!$B$7:$B$261,B43,TAX!$AA$7:$AA$261)</f>
        <v>2140000</v>
      </c>
      <c r="F43" s="240">
        <f ca="1">IF(B43=(OR(0=TRUE(),""=TRUE())),0,((SUMIF(TAX!$B$7:$B$137,ເອກະສານແຈ້ງອາກອນ!B43,TAX!$AO$7:$AO$137))))</f>
        <v>2298341.346153846</v>
      </c>
      <c r="G43" s="240">
        <f t="shared" ca="1" si="5"/>
        <v>200000</v>
      </c>
      <c r="H43" s="240">
        <f t="shared" ca="1" si="6"/>
        <v>4238341.346153846</v>
      </c>
      <c r="I43" s="241">
        <f t="shared" ca="1" si="7"/>
        <v>211917.06730769231</v>
      </c>
      <c r="J43" s="242">
        <f t="shared" ca="1" si="8"/>
        <v>4226424.278846154</v>
      </c>
    </row>
    <row r="44" spans="1:10">
      <c r="A44" s="243">
        <v>36</v>
      </c>
      <c r="B44" s="133" t="str">
        <v>MYL202502048</v>
      </c>
      <c r="C44" s="238" t="str">
        <f t="array" ref="C44:D44">_xlfn.IFNA(VLOOKUP(B44,TAX!B:AH,{2,4},0),"")</f>
        <v>MR XAYSANA CHANTHAVILAY</v>
      </c>
      <c r="D44" s="244" t="str">
        <v>Welding OTS 1</v>
      </c>
      <c r="E44" s="240">
        <f ca="1">SUMIF(TAX!$B$7:$B$261,B44,TAX!$H$7:$H$261)-SUMIF(TAX!$B$7:$B$261,B44,TAX!$AA$7:$AA$261)</f>
        <v>2290000</v>
      </c>
      <c r="F44" s="240">
        <f ca="1">IF(B44=(OR(0=TRUE(),""=TRUE())),0,((SUMIF(TAX!$B$7:$B$137,ເອກະສານແຈ້ງອາກອນ!B44,TAX!$AO$7:$AO$137))))</f>
        <v>2313846.153846154</v>
      </c>
      <c r="G44" s="240">
        <f t="shared" ca="1" si="5"/>
        <v>200000</v>
      </c>
      <c r="H44" s="240">
        <f t="shared" ca="1" si="6"/>
        <v>4403846.153846154</v>
      </c>
      <c r="I44" s="241">
        <f t="shared" ca="1" si="7"/>
        <v>220192.30769230772</v>
      </c>
      <c r="J44" s="242">
        <f t="shared" ca="1" si="8"/>
        <v>4383653.846153846</v>
      </c>
    </row>
    <row r="45" spans="1:10">
      <c r="A45" s="243">
        <v>37</v>
      </c>
      <c r="B45" s="133" t="str">
        <v>MYL202601088</v>
      </c>
      <c r="C45" s="238" t="str">
        <f t="array" ref="C45:D45">_xlfn.IFNA(VLOOKUP(B45,TAX!B:AH,{2,4},0),"")</f>
        <v>MR SAYYAPHONE CHAMPA</v>
      </c>
      <c r="D45" s="244" t="str">
        <v>Welding OTS 1</v>
      </c>
      <c r="E45" s="240">
        <f ca="1">SUMIF(TAX!$B$7:$B$261,B45,TAX!$H$7:$H$261)-SUMIF(TAX!$B$7:$B$261,B45,TAX!$AA$7:$AA$261)</f>
        <v>2300000</v>
      </c>
      <c r="F45" s="240">
        <f ca="1">IF(B45=(OR(0=TRUE(),""=TRUE())),0,((SUMIF(TAX!$B$7:$B$137,ເອກະສານແຈ້ງອາກອນ!B45,TAX!$AO$7:$AO$137))))</f>
        <v>2528221.153846154</v>
      </c>
      <c r="G45" s="240">
        <f t="shared" ca="1" si="5"/>
        <v>200000</v>
      </c>
      <c r="H45" s="240">
        <f t="shared" ca="1" si="6"/>
        <v>4628221.153846154</v>
      </c>
      <c r="I45" s="241">
        <f t="shared" ca="1" si="7"/>
        <v>231411.05769230772</v>
      </c>
      <c r="J45" s="242">
        <f t="shared" ca="1" si="8"/>
        <v>4596810.096153846</v>
      </c>
    </row>
    <row r="46" spans="1:10">
      <c r="A46" s="243">
        <v>38</v>
      </c>
      <c r="B46" s="133" t="str">
        <v>MYL202505089</v>
      </c>
      <c r="C46" s="238" t="str">
        <f t="array" ref="C46:D46">_xlfn.IFNA(VLOOKUP(B46,TAX!B:AH,{2,4},0),"")</f>
        <v>MR VONGDEUAN PHIMMASOME</v>
      </c>
      <c r="D46" s="244" t="str">
        <v>Welding OTS 1</v>
      </c>
      <c r="E46" s="240">
        <f ca="1">SUMIF(TAX!$B$7:$B$261,B46,TAX!$H$7:$H$261)-SUMIF(TAX!$B$7:$B$261,B46,TAX!$AA$7:$AA$261)</f>
        <v>2600000</v>
      </c>
      <c r="F46" s="240">
        <f ca="1">IF(B46=(OR(0=TRUE(),""=TRUE())),0,((SUMIF(TAX!$B$7:$B$137,ເອກະສານແຈ້ງອາກອນ!B46,TAX!$AO$7:$AO$137))))</f>
        <v>2883750</v>
      </c>
      <c r="G46" s="240">
        <f t="shared" ca="1" si="5"/>
        <v>200000</v>
      </c>
      <c r="H46" s="240">
        <f t="shared" ca="1" si="6"/>
        <v>5283750</v>
      </c>
      <c r="I46" s="241">
        <f t="shared" ca="1" si="7"/>
        <v>264187.5</v>
      </c>
      <c r="J46" s="242">
        <f t="shared" ca="1" si="8"/>
        <v>5219562.5</v>
      </c>
    </row>
    <row r="47" spans="1:10">
      <c r="A47" s="243">
        <v>39</v>
      </c>
      <c r="B47" s="133" t="str">
        <v>MYL202507103</v>
      </c>
      <c r="C47" s="238" t="str">
        <f t="array" ref="C47:D47">_xlfn.IFNA(VLOOKUP(B47,TAX!B:AH,{2,4},0),"")</f>
        <v>MR NOUZING SEELANAM</v>
      </c>
      <c r="D47" s="244" t="str">
        <v>Welding OTS 1</v>
      </c>
      <c r="E47" s="240">
        <f ca="1">SUMIF(TAX!$B$7:$B$261,B47,TAX!$H$7:$H$261)-SUMIF(TAX!$B$7:$B$261,B47,TAX!$AA$7:$AA$261)</f>
        <v>2200000</v>
      </c>
      <c r="F47" s="240">
        <f ca="1">IF(B47=(OR(0=TRUE(),""=TRUE())),0,((SUMIF(TAX!$B$7:$B$137,ເອກະສານແຈ້ງອາກອນ!B47,TAX!$AO$7:$AO$137))))</f>
        <v>2254711.5384615385</v>
      </c>
      <c r="G47" s="240">
        <f t="shared" ca="1" si="5"/>
        <v>200000</v>
      </c>
      <c r="H47" s="240">
        <f t="shared" ca="1" si="6"/>
        <v>4254711.538461538</v>
      </c>
      <c r="I47" s="241">
        <f t="shared" ca="1" si="7"/>
        <v>212735.57692307691</v>
      </c>
      <c r="J47" s="242">
        <f t="shared" ca="1" si="8"/>
        <v>4241975.961538461</v>
      </c>
    </row>
    <row r="48" spans="1:10">
      <c r="A48" s="243">
        <v>40</v>
      </c>
      <c r="B48" s="133" t="str">
        <v>MYL202606157</v>
      </c>
      <c r="C48" s="238" t="str">
        <f t="array" ref="C48:D48">_xlfn.IFNA(VLOOKUP(B48,TAX!B:AH,{2,4},0),"")</f>
        <v>MR PHOUTHONE CHANTHAVONGSA</v>
      </c>
      <c r="D48" s="244" t="str">
        <v>Welding OTS 1</v>
      </c>
      <c r="E48" s="240">
        <f ca="1">SUMIF(TAX!$B$7:$B$261,B48,TAX!$H$7:$H$261)-SUMIF(TAX!$B$7:$B$261,B48,TAX!$AA$7:$AA$261)</f>
        <v>1923076.923076923</v>
      </c>
      <c r="F48" s="240">
        <f>IF(B48=(OR(0=TRUE(),""=TRUE())),0,((SUMIF(TAX!$B$7:$B$137,ເອກະສານແຈ້ງອາກອນ!B48,TAX!$AO$7:$AO$137))))</f>
        <v>0</v>
      </c>
      <c r="G48" s="240">
        <f t="shared" ca="1" si="5"/>
        <v>200000</v>
      </c>
      <c r="H48" s="240">
        <f t="shared" ca="1" si="6"/>
        <v>1723076.923076923</v>
      </c>
      <c r="I48" s="241">
        <f t="shared" ca="1" si="7"/>
        <v>86153.846153846156</v>
      </c>
      <c r="J48" s="242">
        <f t="shared" ca="1" si="8"/>
        <v>1836923.0769230768</v>
      </c>
    </row>
    <row r="49" spans="1:10">
      <c r="A49" s="243">
        <v>41</v>
      </c>
      <c r="B49" s="133" t="str">
        <v>MYL201908038</v>
      </c>
      <c r="C49" s="238" t="str">
        <f t="array" ref="C49:D49">_xlfn.IFNA(VLOOKUP(B49,TAX!B:AH,{2,4},0),"")</f>
        <v>MR PHONEPHANA  SINGSUAYKEO</v>
      </c>
      <c r="D49" s="244" t="str">
        <v>Welding OTS 2</v>
      </c>
      <c r="E49" s="240">
        <f ca="1">SUMIF(TAX!$B$7:$B$261,B49,TAX!$H$7:$H$261)-SUMIF(TAX!$B$7:$B$261,B49,TAX!$AA$7:$AA$261)</f>
        <v>3758153.846153846</v>
      </c>
      <c r="F49" s="240">
        <f ca="1">IF(B49=(OR(0=TRUE(),""=TRUE())),0,((SUMIF(TAX!$B$7:$B$137,ເອກະສານແຈ້ງອາກອນ!B49,TAX!$AO$7:$AO$137))))</f>
        <v>4384615.384615385</v>
      </c>
      <c r="G49" s="240">
        <f t="shared" ca="1" si="5"/>
        <v>200000</v>
      </c>
      <c r="H49" s="240">
        <f t="shared" ca="1" si="6"/>
        <v>7942769.230769231</v>
      </c>
      <c r="I49" s="241">
        <f t="shared" ca="1" si="7"/>
        <v>397138.46153846156</v>
      </c>
      <c r="J49" s="242">
        <f t="shared" ca="1" si="8"/>
        <v>7745630.769230769</v>
      </c>
    </row>
    <row r="50" spans="1:10">
      <c r="A50" s="243">
        <v>42</v>
      </c>
      <c r="B50" s="133" t="str">
        <v>MYL202502043</v>
      </c>
      <c r="C50" s="238" t="str">
        <f t="array" ref="C50:D50">_xlfn.IFNA(VLOOKUP(B50,TAX!B:AH,{2,4},0),"")</f>
        <v>MR JONENY CHAMPA</v>
      </c>
      <c r="D50" s="244" t="str">
        <v>Welding OTS 2</v>
      </c>
      <c r="E50" s="240">
        <f ca="1">SUMIF(TAX!$B$7:$B$261,B50,TAX!$H$7:$H$261)-SUMIF(TAX!$B$7:$B$261,B50,TAX!$AA$7:$AA$261)</f>
        <v>2600000</v>
      </c>
      <c r="F50" s="240">
        <f ca="1">IF(B50=(OR(0=TRUE(),""=TRUE())),0,((SUMIF(TAX!$B$7:$B$137,ເອກະສານແຈ້ງອາກອນ!B50,TAX!$AO$7:$AO$137))))</f>
        <v>2881730.769230769</v>
      </c>
      <c r="G50" s="240">
        <f t="shared" ca="1" si="5"/>
        <v>200000</v>
      </c>
      <c r="H50" s="240">
        <f t="shared" ca="1" si="6"/>
        <v>5281730.769230769</v>
      </c>
      <c r="I50" s="241">
        <f t="shared" ca="1" si="7"/>
        <v>264086.53846153844</v>
      </c>
      <c r="J50" s="242">
        <f t="shared" ca="1" si="8"/>
        <v>5217644.230769231</v>
      </c>
    </row>
    <row r="51" spans="1:10">
      <c r="A51" s="243">
        <v>43</v>
      </c>
      <c r="B51" s="133" t="str">
        <v>MYL202504055</v>
      </c>
      <c r="C51" s="238" t="str">
        <f t="array" ref="C51:D51">_xlfn.IFNA(VLOOKUP(B51,TAX!B:AH,{2,4},0),"")</f>
        <v>MR BOUNMA SOUTHALIN</v>
      </c>
      <c r="D51" s="244" t="str">
        <v>Welding OTS 2</v>
      </c>
      <c r="E51" s="240">
        <f ca="1">SUMIF(TAX!$B$7:$B$261,B51,TAX!$H$7:$H$261)-SUMIF(TAX!$B$7:$B$261,B51,TAX!$AA$7:$AA$261)</f>
        <v>2600000</v>
      </c>
      <c r="F51" s="240">
        <f ca="1">IF(B51=(OR(0=TRUE(),""=TRUE())),0,((SUMIF(TAX!$B$7:$B$137,ເອກະສານແຈ້ງອາກອນ!B51,TAX!$AO$7:$AO$137))))</f>
        <v>2912500</v>
      </c>
      <c r="G51" s="240">
        <f t="shared" ca="1" si="5"/>
        <v>200000</v>
      </c>
      <c r="H51" s="240">
        <f t="shared" ca="1" si="6"/>
        <v>5312500</v>
      </c>
      <c r="I51" s="241">
        <f t="shared" ca="1" si="7"/>
        <v>265625</v>
      </c>
      <c r="J51" s="242">
        <f t="shared" ca="1" si="8"/>
        <v>5246875</v>
      </c>
    </row>
    <row r="52" spans="1:10">
      <c r="A52" s="243">
        <v>44</v>
      </c>
      <c r="B52" s="133" t="str">
        <v>MYL202507097</v>
      </c>
      <c r="C52" s="238" t="str">
        <f t="array" ref="C52:D52">_xlfn.IFNA(VLOOKUP(B52,TAX!B:AH,{2,4},0),"")</f>
        <v>MR CHAT SAENGARLUON</v>
      </c>
      <c r="D52" s="244" t="str">
        <v>Welding OTS 2</v>
      </c>
      <c r="E52" s="240">
        <f ca="1">SUMIF(TAX!$B$7:$B$261,B52,TAX!$H$7:$H$261)-SUMIF(TAX!$B$7:$B$261,B52,TAX!$AA$7:$AA$261)</f>
        <v>2450000</v>
      </c>
      <c r="F52" s="240">
        <f ca="1">IF(B52=(OR(0=TRUE(),""=TRUE())),0,((SUMIF(TAX!$B$7:$B$137,ເອກະສານແຈ້ງອາກອນ!B52,TAX!$AO$7:$AO$137))))</f>
        <v>2632115.3846153845</v>
      </c>
      <c r="G52" s="240">
        <f t="shared" ca="1" si="5"/>
        <v>200000</v>
      </c>
      <c r="H52" s="240">
        <f t="shared" ca="1" si="6"/>
        <v>4882115.384615384</v>
      </c>
      <c r="I52" s="241">
        <f t="shared" ca="1" si="7"/>
        <v>244105.76923076922</v>
      </c>
      <c r="J52" s="242">
        <f t="shared" ca="1" si="8"/>
        <v>4838009.615384615</v>
      </c>
    </row>
    <row r="53" spans="1:10">
      <c r="A53" s="243">
        <v>45</v>
      </c>
      <c r="B53" s="133" t="str">
        <v>MYL202507101</v>
      </c>
      <c r="C53" s="238" t="str">
        <f t="array" ref="C53:D53">_xlfn.IFNA(VLOOKUP(B53,TAX!B:AH,{2,4},0),"")</f>
        <v>MR BOUNKEUTH NORLATH</v>
      </c>
      <c r="D53" s="244" t="str">
        <v>Welding OTS 2</v>
      </c>
      <c r="E53" s="240">
        <f ca="1">SUMIF(TAX!$B$7:$B$261,B53,TAX!$H$7:$H$261)-SUMIF(TAX!$B$7:$B$261,B53,TAX!$AA$7:$AA$261)</f>
        <v>2307692.3076923075</v>
      </c>
      <c r="F53" s="240">
        <f ca="1">IF(B53=(OR(0=TRUE(),""=TRUE())),0,((SUMIF(TAX!$B$7:$B$137,ເອກະສານແຈ້ງອາກອນ!B53,TAX!$AO$7:$AO$137))))</f>
        <v>2381250</v>
      </c>
      <c r="G53" s="240">
        <f t="shared" ca="1" si="5"/>
        <v>200000</v>
      </c>
      <c r="H53" s="240">
        <f t="shared" ca="1" si="6"/>
        <v>4488942.307692308</v>
      </c>
      <c r="I53" s="241">
        <f t="shared" ca="1" si="7"/>
        <v>224447.1153846154</v>
      </c>
      <c r="J53" s="242">
        <f t="shared" ca="1" si="8"/>
        <v>4464495.192307693</v>
      </c>
    </row>
    <row r="54" spans="1:10">
      <c r="A54" s="243">
        <v>46</v>
      </c>
      <c r="B54" s="133" t="str">
        <v>MYL202601126</v>
      </c>
      <c r="C54" s="238" t="str">
        <f t="array" ref="C54:D54">_xlfn.IFNA(VLOOKUP(B54,TAX!B:AH,{2,4},0),"")</f>
        <v>MR BONETHANA SYPASUET</v>
      </c>
      <c r="D54" s="244" t="str">
        <v>Welding OTS 2</v>
      </c>
      <c r="E54" s="240">
        <f ca="1">SUMIF(TAX!$B$7:$B$261,B54,TAX!$H$7:$H$261)-SUMIF(TAX!$B$7:$B$261,B54,TAX!$AA$7:$AA$261)</f>
        <v>2600000</v>
      </c>
      <c r="F54" s="240">
        <f ca="1">IF(B54=(OR(0=TRUE(),""=TRUE())),0,((SUMIF(TAX!$B$7:$B$137,ເອກະສານແຈ້ງອາກອນ!B54,TAX!$AO$7:$AO$137))))</f>
        <v>2912500</v>
      </c>
      <c r="G54" s="240">
        <f t="shared" ca="1" si="5"/>
        <v>200000</v>
      </c>
      <c r="H54" s="240">
        <f t="shared" ca="1" si="6"/>
        <v>5312500</v>
      </c>
      <c r="I54" s="241">
        <f t="shared" ca="1" si="7"/>
        <v>265625</v>
      </c>
      <c r="J54" s="242">
        <f t="shared" ca="1" si="8"/>
        <v>5246875</v>
      </c>
    </row>
    <row r="55" spans="1:10">
      <c r="A55" s="243">
        <v>47</v>
      </c>
      <c r="B55" s="133" t="str">
        <v>MYL202605148</v>
      </c>
      <c r="C55" s="238" t="str">
        <f t="array" ref="C55:D55">_xlfn.IFNA(VLOOKUP(B55,TAX!B:AH,{2,4},0),"")</f>
        <v>MR VILAYLACK SEEMIXAI</v>
      </c>
      <c r="D55" s="244" t="str">
        <v>Welding OTS 2</v>
      </c>
      <c r="E55" s="240">
        <f ca="1">SUMIF(TAX!$B$7:$B$261,B55,TAX!$H$7:$H$261)-SUMIF(TAX!$B$7:$B$261,B55,TAX!$AA$7:$AA$261)</f>
        <v>2307692.3076923075</v>
      </c>
      <c r="F55" s="240">
        <f ca="1">IF(B55=(OR(0=TRUE(),""=TRUE())),0,((SUMIF(TAX!$B$7:$B$137,ເອກະສານແຈ້ງອາກອນ!B55,TAX!$AO$7:$AO$137))))</f>
        <v>1917427.8846153847</v>
      </c>
      <c r="G55" s="240">
        <f t="shared" ca="1" si="5"/>
        <v>200000</v>
      </c>
      <c r="H55" s="240">
        <f t="shared" ca="1" si="6"/>
        <v>4025120.192307692</v>
      </c>
      <c r="I55" s="241">
        <f t="shared" ca="1" si="7"/>
        <v>201256.00961538462</v>
      </c>
      <c r="J55" s="242">
        <f t="shared" ca="1" si="8"/>
        <v>4023864.1826923075</v>
      </c>
    </row>
    <row r="56" spans="1:10">
      <c r="A56" s="243">
        <v>48</v>
      </c>
      <c r="B56" s="133" t="str">
        <v>MYL202606154</v>
      </c>
      <c r="C56" s="238" t="str">
        <f t="array" ref="C56:D56">_xlfn.IFNA(VLOOKUP(B56,TAX!B:AH,{2,4},0),"")</f>
        <v>MR THUDSAPHONE HOUNGLADSAMEE</v>
      </c>
      <c r="D56" s="244" t="str">
        <v>Welding OTS 2</v>
      </c>
      <c r="E56" s="240">
        <f ca="1">SUMIF(TAX!$B$7:$B$261,B56,TAX!$H$7:$H$261)-SUMIF(TAX!$B$7:$B$261,B56,TAX!$AA$7:$AA$261)</f>
        <v>1826923.076923077</v>
      </c>
      <c r="F56" s="240">
        <f ca="1">IF(B56=(OR(0=TRUE(),""=TRUE())),0,((SUMIF(TAX!$B$7:$B$137,ເອກະສານແຈ້ງອາກອນ!B56,TAX!$AO$7:$AO$137))))</f>
        <v>1322355.7692307692</v>
      </c>
      <c r="G56" s="240">
        <f t="shared" ca="1" si="5"/>
        <v>200000</v>
      </c>
      <c r="H56" s="240">
        <f t="shared" ca="1" si="6"/>
        <v>2949278.846153846</v>
      </c>
      <c r="I56" s="241">
        <f t="shared" ca="1" si="7"/>
        <v>147463.94230769231</v>
      </c>
      <c r="J56" s="242">
        <f t="shared" ca="1" si="8"/>
        <v>3001814.9038461535</v>
      </c>
    </row>
    <row r="57" spans="1:10">
      <c r="A57" s="243">
        <v>49</v>
      </c>
      <c r="B57" s="133" t="str">
        <v>MYL202001008</v>
      </c>
      <c r="C57" s="238" t="str">
        <f t="array" ref="C57:D57">_xlfn.IFNA(VLOOKUP(B57,TAX!B:AH,{2,4},0),"")</f>
        <v>MRS SAVINY PHOUTTHALAKSA</v>
      </c>
      <c r="D57" s="244" t="str">
        <v>Valve Assembly</v>
      </c>
      <c r="E57" s="240">
        <f ca="1">SUMIF(TAX!$B$7:$B$261,B57,TAX!$H$7:$H$261)-SUMIF(TAX!$B$7:$B$261,B57,TAX!$AA$7:$AA$261)</f>
        <v>2777137.824</v>
      </c>
      <c r="F57" s="240">
        <f ca="1">IF(B57=(OR(0=TRUE(),""=TRUE())),0,((SUMIF(TAX!$B$7:$B$137,ເອກະສານແຈ້ງອາກອນ!B57,TAX!$AO$7:$AO$137))))</f>
        <v>1845045.4374307692</v>
      </c>
      <c r="G57" s="240">
        <f t="shared" ca="1" si="5"/>
        <v>200000</v>
      </c>
      <c r="H57" s="240">
        <f t="shared" ca="1" si="6"/>
        <v>4422183.2614307692</v>
      </c>
      <c r="I57" s="241">
        <f t="shared" ca="1" si="7"/>
        <v>221109.16307153847</v>
      </c>
      <c r="J57" s="242">
        <f t="shared" ca="1" si="8"/>
        <v>4401074.0983592309</v>
      </c>
    </row>
    <row r="58" spans="1:10">
      <c r="A58" s="243">
        <v>50</v>
      </c>
      <c r="B58" s="133" t="str">
        <v>MYL202501009</v>
      </c>
      <c r="C58" s="238" t="str">
        <f t="array" ref="C58:D58">_xlfn.IFNA(VLOOKUP(B58,TAX!B:AH,{2,4},0),"")</f>
        <v>MRS SUINOY THILAKHAMPHIW</v>
      </c>
      <c r="D58" s="244" t="str">
        <v>Valve Assembly</v>
      </c>
      <c r="E58" s="240">
        <f ca="1">SUMIF(TAX!$B$7:$B$261,B58,TAX!$H$7:$H$261)-SUMIF(TAX!$B$7:$B$261,B58,TAX!$AA$7:$AA$261)</f>
        <v>2400000</v>
      </c>
      <c r="F58" s="240">
        <f ca="1">IF(B58=(OR(0=TRUE(),""=TRUE())),0,((SUMIF(TAX!$B$7:$B$137,ເອກະສານແຈ້ງອາກອນ!B58,TAX!$AO$7:$AO$137))))</f>
        <v>1490096.153846154</v>
      </c>
      <c r="G58" s="240">
        <f t="shared" ca="1" si="5"/>
        <v>200000</v>
      </c>
      <c r="H58" s="240">
        <f t="shared" ca="1" si="6"/>
        <v>3690096.153846154</v>
      </c>
      <c r="I58" s="241">
        <f t="shared" ca="1" si="7"/>
        <v>184504.80769230772</v>
      </c>
      <c r="J58" s="242">
        <f t="shared" ca="1" si="8"/>
        <v>3705591.3461538465</v>
      </c>
    </row>
    <row r="59" spans="1:10">
      <c r="A59" s="243">
        <v>51</v>
      </c>
      <c r="B59" s="133" t="str">
        <v>MYL202001019</v>
      </c>
      <c r="C59" s="238" t="str">
        <f t="array" ref="C59:D59">_xlfn.IFNA(VLOOKUP(B59,TAX!B:AH,{2,4},0),"")</f>
        <v>MRS VANNAPHA VONGCHANDY</v>
      </c>
      <c r="D59" s="244" t="str">
        <v>PISTON Assembly</v>
      </c>
      <c r="E59" s="240">
        <f ca="1">SUMIF(TAX!$B$7:$B$261,B59,TAX!$H$7:$H$261)-SUMIF(TAX!$B$7:$B$261,B59,TAX!$AA$7:$AA$261)</f>
        <v>2777137.824</v>
      </c>
      <c r="F59" s="240">
        <f ca="1">IF(B59=(OR(0=TRUE(),""=TRUE())),0,((SUMIF(TAX!$B$7:$B$137,ເອກະສານແຈ້ງອາກອນ!B59,TAX!$AO$7:$AO$137))))</f>
        <v>1845045.4374307692</v>
      </c>
      <c r="G59" s="240">
        <f t="shared" ca="1" si="5"/>
        <v>200000</v>
      </c>
      <c r="H59" s="240">
        <f t="shared" ca="1" si="6"/>
        <v>4422183.2614307692</v>
      </c>
      <c r="I59" s="241">
        <f t="shared" ca="1" si="7"/>
        <v>221109.16307153847</v>
      </c>
      <c r="J59" s="242">
        <f t="shared" ca="1" si="8"/>
        <v>4401074.0983592309</v>
      </c>
    </row>
    <row r="60" spans="1:10">
      <c r="A60" s="243">
        <v>52</v>
      </c>
      <c r="B60" s="133" t="str">
        <v>MYL202509115</v>
      </c>
      <c r="C60" s="238" t="str">
        <f t="array" ref="C60:D60">_xlfn.IFNA(VLOOKUP(B60,TAX!B:AH,{2,4},0),"")</f>
        <v>MRS TOUNY SENGSOULIN</v>
      </c>
      <c r="D60" s="244" t="str">
        <v>PISTON Assembly</v>
      </c>
      <c r="E60" s="240">
        <f ca="1">SUMIF(TAX!$B$7:$B$261,B60,TAX!$H$7:$H$261)-SUMIF(TAX!$B$7:$B$261,B60,TAX!$AA$7:$AA$261)</f>
        <v>2400000</v>
      </c>
      <c r="F60" s="240">
        <f ca="1">IF(B60=(OR(0=TRUE(),""=TRUE())),0,((SUMIF(TAX!$B$7:$B$137,ເອກະສານແຈ້ງອາກອນ!B60,TAX!$AO$7:$AO$137))))</f>
        <v>1528605.7692307692</v>
      </c>
      <c r="G60" s="240">
        <f t="shared" ca="1" si="5"/>
        <v>200000</v>
      </c>
      <c r="H60" s="240">
        <f t="shared" ca="1" si="6"/>
        <v>3728605.769230769</v>
      </c>
      <c r="I60" s="241">
        <f t="shared" ca="1" si="7"/>
        <v>186430.28846153847</v>
      </c>
      <c r="J60" s="242">
        <f t="shared" ca="1" si="8"/>
        <v>3742175.4807692305</v>
      </c>
    </row>
    <row r="61" spans="1:10">
      <c r="A61" s="243">
        <v>53</v>
      </c>
      <c r="B61" s="133" t="str">
        <v>MYL201908033</v>
      </c>
      <c r="C61" s="238" t="str">
        <f t="array" ref="C61:D61">_xlfn.IFNA(VLOOKUP(B61,TAX!B:AH,{2,4},0),"")</f>
        <v>MR SIPHAN KITTILATH</v>
      </c>
      <c r="D61" s="244" t="str">
        <v>Assembly_PTS</v>
      </c>
      <c r="E61" s="240">
        <f ca="1">SUMIF(TAX!$B$7:$B$261,B61,TAX!$H$7:$H$261)-SUMIF(TAX!$B$7:$B$261,B61,TAX!$AA$7:$AA$261)</f>
        <v>3212000</v>
      </c>
      <c r="F61" s="240">
        <f ca="1">IF(B61=(OR(0=TRUE(),""=TRUE())),0,((SUMIF(TAX!$B$7:$B$137,ເອກະສານແຈ້ງອາກອນ!B61,TAX!$AO$7:$AO$137))))</f>
        <v>3159471.153846154</v>
      </c>
      <c r="G61" s="240">
        <f t="shared" ca="1" si="5"/>
        <v>200000</v>
      </c>
      <c r="H61" s="240">
        <f t="shared" ca="1" si="6"/>
        <v>6171471.153846154</v>
      </c>
      <c r="I61" s="241">
        <f t="shared" ca="1" si="7"/>
        <v>308573.55769230769</v>
      </c>
      <c r="J61" s="242">
        <f t="shared" ca="1" si="8"/>
        <v>6062897.596153846</v>
      </c>
    </row>
    <row r="62" spans="1:10">
      <c r="A62" s="243">
        <v>54</v>
      </c>
      <c r="B62" s="133" t="str">
        <v>MYL202502017</v>
      </c>
      <c r="C62" s="238" t="str">
        <f t="array" ref="C62:D62">_xlfn.IFNA(VLOOKUP(B62,TAX!B:AH,{2,4},0),"")</f>
        <v>MRS KHAMPHOUVI SETTHATHILATH</v>
      </c>
      <c r="D62" s="244" t="str">
        <v>Assembly_PTS</v>
      </c>
      <c r="E62" s="240">
        <f ca="1">SUMIF(TAX!$B$7:$B$261,B62,TAX!$H$7:$H$261)-SUMIF(TAX!$B$7:$B$261,B62,TAX!$AA$7:$AA$261)</f>
        <v>2600000</v>
      </c>
      <c r="F62" s="240">
        <f ca="1">IF(B62=(OR(0=TRUE(),""=TRUE())),0,((SUMIF(TAX!$B$7:$B$137,ເອກະສານແຈ້ງອາກອນ!B62,TAX!$AO$7:$AO$137))))</f>
        <v>1786250</v>
      </c>
      <c r="G62" s="240">
        <f t="shared" ca="1" si="5"/>
        <v>200000</v>
      </c>
      <c r="H62" s="240">
        <f t="shared" ca="1" si="6"/>
        <v>4186250</v>
      </c>
      <c r="I62" s="241">
        <f t="shared" ca="1" si="7"/>
        <v>209312.5</v>
      </c>
      <c r="J62" s="242">
        <f t="shared" ca="1" si="8"/>
        <v>4176937.5</v>
      </c>
    </row>
    <row r="63" spans="1:10">
      <c r="A63" s="243">
        <v>55</v>
      </c>
      <c r="B63" s="133" t="str">
        <v>MYL202405034</v>
      </c>
      <c r="C63" s="238" t="str">
        <f t="array" ref="C63:D63">_xlfn.IFNA(VLOOKUP(B63,TAX!B:AH,{2,4},0),"")</f>
        <v>MRS TOUKTA ORLADASITH</v>
      </c>
      <c r="D63" s="244" t="str">
        <v>Assembly_PTS</v>
      </c>
      <c r="E63" s="240">
        <f ca="1">SUMIF(TAX!$B$7:$B$261,B63,TAX!$H$7:$H$261)-SUMIF(TAX!$B$7:$B$261,B63,TAX!$AA$7:$AA$261)</f>
        <v>2668000</v>
      </c>
      <c r="F63" s="240">
        <f ca="1">IF(B63=(OR(0=TRUE(),""=TRUE())),0,((SUMIF(TAX!$B$7:$B$137,ເອກະສານແຈ້ງອາກອນ!B63,TAX!$AO$7:$AO$137))))</f>
        <v>1788505.7692307692</v>
      </c>
      <c r="G63" s="240">
        <f t="shared" ca="1" si="5"/>
        <v>200000</v>
      </c>
      <c r="H63" s="240">
        <f t="shared" ca="1" si="6"/>
        <v>4256505.769230769</v>
      </c>
      <c r="I63" s="241">
        <f t="shared" ca="1" si="7"/>
        <v>212825.28846153847</v>
      </c>
      <c r="J63" s="242">
        <f t="shared" ca="1" si="8"/>
        <v>4243680.480769231</v>
      </c>
    </row>
    <row r="64" spans="1:10">
      <c r="A64" s="243">
        <v>56</v>
      </c>
      <c r="B64" s="133" t="str">
        <v>MYT202511121</v>
      </c>
      <c r="C64" s="238" t="str">
        <f t="array" ref="C64:D64">_xlfn.IFNA(VLOOKUP(B64,TAX!B:AH,{2,4},0),"")</f>
        <v>MR KHAMPHENG SENGDALA</v>
      </c>
      <c r="D64" s="244" t="str">
        <v>Assembly_PTS</v>
      </c>
      <c r="E64" s="240">
        <f ca="1">SUMIF(TAX!$B$7:$B$261,B64,TAX!$H$7:$H$261)-SUMIF(TAX!$B$7:$B$261,B64,TAX!$AA$7:$AA$261)</f>
        <v>2490000</v>
      </c>
      <c r="F64" s="240">
        <f ca="1">IF(B64=(OR(0=TRUE(),""=TRUE())),0,((SUMIF(TAX!$B$7:$B$137,ເອກະສານແຈ້ງອາກອນ!B64,TAX!$AO$7:$AO$137))))</f>
        <v>1506490.3846153845</v>
      </c>
      <c r="G64" s="240">
        <f t="shared" ca="1" si="5"/>
        <v>200000</v>
      </c>
      <c r="H64" s="240">
        <f t="shared" ca="1" si="6"/>
        <v>3796490.3846153845</v>
      </c>
      <c r="I64" s="241">
        <f t="shared" ca="1" si="7"/>
        <v>189824.51923076925</v>
      </c>
      <c r="J64" s="242">
        <f t="shared" ca="1" si="8"/>
        <v>3806665.865384615</v>
      </c>
    </row>
    <row r="65" spans="1:10">
      <c r="A65" s="243">
        <v>57</v>
      </c>
      <c r="B65" s="133" t="str">
        <v>MYL202604145</v>
      </c>
      <c r="C65" s="238" t="str">
        <f t="array" ref="C65:D65">_xlfn.IFNA(VLOOKUP(B65,TAX!B:AH,{2,4},0),"")</f>
        <v>MRS SUAY SENGDALA</v>
      </c>
      <c r="D65" s="244" t="str">
        <v>Assembly_PTS</v>
      </c>
      <c r="E65" s="240">
        <f ca="1">SUMIF(TAX!$B$7:$B$261,B65,TAX!$H$7:$H$261)-SUMIF(TAX!$B$7:$B$261,B65,TAX!$AA$7:$AA$261)</f>
        <v>1432307.6923076923</v>
      </c>
      <c r="F65" s="240">
        <f ca="1">IF(B65=(OR(0=TRUE(),""=TRUE())),0,((SUMIF(TAX!$B$7:$B$137,ເອກະສານແຈ້ງອາກອນ!B65,TAX!$AO$7:$AO$137))))</f>
        <v>606850.9615384615</v>
      </c>
      <c r="G65" s="240">
        <f t="shared" ca="1" si="5"/>
        <v>200000</v>
      </c>
      <c r="H65" s="240">
        <f t="shared" ca="1" si="6"/>
        <v>1839158.6538461538</v>
      </c>
      <c r="I65" s="241">
        <f t="shared" ca="1" si="7"/>
        <v>91957.932692307688</v>
      </c>
      <c r="J65" s="242">
        <f t="shared" ca="1" si="8"/>
        <v>1947200.721153846</v>
      </c>
    </row>
    <row r="66" spans="1:10">
      <c r="A66" s="243">
        <v>58</v>
      </c>
      <c r="B66" s="133" t="str">
        <v>MYL202405063</v>
      </c>
      <c r="C66" s="238" t="str">
        <f t="array" ref="C66:D66">_xlfn.IFNA(VLOOKUP(B66,TAX!B:AH,{2,4},0),"")</f>
        <v>MR LOUNGMISAY SINPASEUTH</v>
      </c>
      <c r="D66" s="244" t="str">
        <v>Assembly SAS</v>
      </c>
      <c r="E66" s="240">
        <f ca="1">SUMIF(TAX!$B$7:$B$261,B66,TAX!$H$7:$H$261)-SUMIF(TAX!$B$7:$B$261,B66,TAX!$AA$7:$AA$261)</f>
        <v>3212000</v>
      </c>
      <c r="F66" s="240">
        <f ca="1">IF(B66=(OR(0=TRUE(),""=TRUE())),0,((SUMIF(TAX!$B$7:$B$137,ເອກະສານແຈ້ງອາກອນ!B66,TAX!$AO$7:$AO$137))))</f>
        <v>3739831.7307692305</v>
      </c>
      <c r="G66" s="240">
        <f t="shared" ca="1" si="5"/>
        <v>200000</v>
      </c>
      <c r="H66" s="240">
        <f t="shared" ca="1" si="6"/>
        <v>6751831.7307692301</v>
      </c>
      <c r="I66" s="241">
        <f t="shared" ca="1" si="7"/>
        <v>337591.5865384615</v>
      </c>
      <c r="J66" s="242">
        <f t="shared" ca="1" si="8"/>
        <v>6614240.1442307681</v>
      </c>
    </row>
    <row r="67" spans="1:10">
      <c r="A67" s="243">
        <v>59</v>
      </c>
      <c r="B67" s="133" t="str">
        <v>MYL202406012</v>
      </c>
      <c r="C67" s="238" t="str">
        <f t="array" ref="C67:D67">_xlfn.IFNA(VLOOKUP(B67,TAX!B:AH,{2,4},0),"")</f>
        <v>MR JIMMY KETTAVONG</v>
      </c>
      <c r="D67" s="244" t="str">
        <v>Assembly SAS</v>
      </c>
      <c r="E67" s="240">
        <f ca="1">SUMIF(TAX!$B$7:$B$261,B67,TAX!$H$7:$H$261)-SUMIF(TAX!$B$7:$B$261,B67,TAX!$AA$7:$AA$261)</f>
        <v>2685000</v>
      </c>
      <c r="F67" s="240">
        <f ca="1">IF(B67=(OR(0=TRUE(),""=TRUE())),0,((SUMIF(TAX!$B$7:$B$137,ເອກະສານແຈ້ງອາກອນ!B67,TAX!$AO$7:$AO$137))))</f>
        <v>2693020.432692308</v>
      </c>
      <c r="G67" s="240">
        <f t="shared" ca="1" si="5"/>
        <v>200000</v>
      </c>
      <c r="H67" s="240">
        <f t="shared" ca="1" si="6"/>
        <v>5178020.432692308</v>
      </c>
      <c r="I67" s="241">
        <f t="shared" ca="1" si="7"/>
        <v>258901.0216346154</v>
      </c>
      <c r="J67" s="242">
        <f t="shared" ca="1" si="8"/>
        <v>5119119.411057693</v>
      </c>
    </row>
    <row r="68" spans="1:10">
      <c r="A68" s="243">
        <v>60</v>
      </c>
      <c r="B68" s="133" t="str">
        <v>MYL202405031</v>
      </c>
      <c r="C68" s="238" t="str">
        <f t="array" ref="C68:D68">_xlfn.IFNA(VLOOKUP(B68,TAX!B:AH,{2,4},0),"")</f>
        <v>MR NOUPHONE CHANTHAMALY</v>
      </c>
      <c r="D68" s="244" t="str">
        <v>Assembly SAS</v>
      </c>
      <c r="E68" s="240">
        <f ca="1">SUMIF(TAX!$B$7:$B$261,B68,TAX!$H$7:$H$261)-SUMIF(TAX!$B$7:$B$261,B68,TAX!$AA$7:$AA$261)</f>
        <v>2702000</v>
      </c>
      <c r="F68" s="240">
        <f ca="1">IF(B68=(OR(0=TRUE(),""=TRUE())),0,((SUMIF(TAX!$B$7:$B$137,ເອກະສານແຈ້ງອາກອນ!B68,TAX!$AO$7:$AO$137))))</f>
        <v>2712037.9807692305</v>
      </c>
      <c r="G68" s="240">
        <f t="shared" ca="1" si="5"/>
        <v>200000</v>
      </c>
      <c r="H68" s="240">
        <f t="shared" ca="1" si="6"/>
        <v>5214037.9807692301</v>
      </c>
      <c r="I68" s="241">
        <f t="shared" ca="1" si="7"/>
        <v>260701.8990384615</v>
      </c>
      <c r="J68" s="242">
        <f t="shared" ca="1" si="8"/>
        <v>5153336.0817307681</v>
      </c>
    </row>
    <row r="69" spans="1:10">
      <c r="A69" s="243">
        <v>61</v>
      </c>
      <c r="B69" s="133" t="str">
        <v>MYL202504053</v>
      </c>
      <c r="C69" s="238" t="str">
        <f t="array" ref="C69:D69">_xlfn.IFNA(VLOOKUP(B69,TAX!B:AH,{2,4},0),"")</f>
        <v>MISS SOUTSADA SOUTHALIN</v>
      </c>
      <c r="D69" s="244" t="str">
        <v>Assembly SAS</v>
      </c>
      <c r="E69" s="240">
        <f ca="1">SUMIF(TAX!$B$7:$B$261,B69,TAX!$H$7:$H$261)-SUMIF(TAX!$B$7:$B$261,B69,TAX!$AA$7:$AA$261)</f>
        <v>2512000</v>
      </c>
      <c r="F69" s="240">
        <f ca="1">IF(B69=(OR(0=TRUE(),""=TRUE())),0,((SUMIF(TAX!$B$7:$B$137,ເອກະສານແຈ້ງອາກອນ!B69,TAX!$AO$7:$AO$137))))</f>
        <v>1864615.3846153845</v>
      </c>
      <c r="G69" s="240">
        <f t="shared" ca="1" si="5"/>
        <v>200000</v>
      </c>
      <c r="H69" s="240">
        <f t="shared" ca="1" si="6"/>
        <v>4176615.384615384</v>
      </c>
      <c r="I69" s="241">
        <f t="shared" ca="1" si="7"/>
        <v>208830.76923076922</v>
      </c>
      <c r="J69" s="242">
        <f t="shared" ca="1" si="8"/>
        <v>4167784.615384615</v>
      </c>
    </row>
    <row r="70" spans="1:10">
      <c r="A70" s="243">
        <v>62</v>
      </c>
      <c r="B70" s="133" t="str">
        <v>MYL202505080</v>
      </c>
      <c r="C70" s="238" t="str">
        <f t="array" ref="C70:D70">_xlfn.IFNA(VLOOKUP(B70,TAX!B:AH,{2,4},0),"")</f>
        <v>MR BOM CHANTHALATH</v>
      </c>
      <c r="D70" s="244" t="str">
        <v>Assembly SAS</v>
      </c>
      <c r="E70" s="240">
        <f ca="1">SUMIF(TAX!$B$7:$B$261,B70,TAX!$H$7:$H$261)-SUMIF(TAX!$B$7:$B$261,B70,TAX!$AA$7:$AA$261)</f>
        <v>2600000</v>
      </c>
      <c r="F70" s="240">
        <f ca="1">IF(B70=(OR(0=TRUE(),""=TRUE())),0,((SUMIF(TAX!$B$7:$B$137,ເອກະສານແຈ້ງອາກອນ!B70,TAX!$AO$7:$AO$137))))</f>
        <v>1880000</v>
      </c>
      <c r="G70" s="240">
        <f t="shared" ca="1" si="5"/>
        <v>200000</v>
      </c>
      <c r="H70" s="240">
        <f t="shared" ca="1" si="6"/>
        <v>4280000</v>
      </c>
      <c r="I70" s="241">
        <f t="shared" ca="1" si="7"/>
        <v>214000</v>
      </c>
      <c r="J70" s="242">
        <f t="shared" ca="1" si="8"/>
        <v>4266000</v>
      </c>
    </row>
    <row r="71" spans="1:10">
      <c r="A71" s="243">
        <v>63</v>
      </c>
      <c r="B71" s="133" t="str">
        <v>MYL202505090</v>
      </c>
      <c r="C71" s="238" t="str">
        <f t="array" ref="C71:D71">_xlfn.IFNA(VLOOKUP(B71,TAX!B:AH,{2,4},0),"")</f>
        <v>MR SOUKCHAI XAISONGKHARM</v>
      </c>
      <c r="D71" s="244" t="str">
        <v>Assembly SAS</v>
      </c>
      <c r="E71" s="240">
        <f ca="1">SUMIF(TAX!$B$7:$B$261,B71,TAX!$H$7:$H$261)-SUMIF(TAX!$B$7:$B$261,B71,TAX!$AA$7:$AA$261)</f>
        <v>1999230.7692307692</v>
      </c>
      <c r="F71" s="240">
        <f ca="1">IF(B71=(OR(0=TRUE(),""=TRUE())),0,((SUMIF(TAX!$B$7:$B$137,ເອກະສານແຈ້ງອາກອນ!B71,TAX!$AO$7:$AO$137))))</f>
        <v>1745072.1153846153</v>
      </c>
      <c r="G71" s="240">
        <f t="shared" ca="1" si="5"/>
        <v>200000</v>
      </c>
      <c r="H71" s="240">
        <f t="shared" ca="1" si="6"/>
        <v>3544302.8846153845</v>
      </c>
      <c r="I71" s="241">
        <f t="shared" ca="1" si="7"/>
        <v>177215.14423076925</v>
      </c>
      <c r="J71" s="242">
        <f t="shared" ca="1" si="8"/>
        <v>3567087.740384615</v>
      </c>
    </row>
    <row r="72" spans="1:10">
      <c r="A72" s="243">
        <v>64</v>
      </c>
      <c r="B72" s="133" t="str">
        <v>MYL202606161</v>
      </c>
      <c r="C72" s="238" t="str">
        <f t="array" ref="C72:D72">_xlfn.IFNA(VLOOKUP(B72,TAX!B:AH,{2,4},0),"")</f>
        <v>MR PHOUTHASONE SEELIVONGE</v>
      </c>
      <c r="D72" s="244" t="str">
        <v>Assembly SAS</v>
      </c>
      <c r="E72" s="240">
        <f ca="1">SUMIF(TAX!$B$7:$B$261,B72,TAX!$H$7:$H$261)-SUMIF(TAX!$B$7:$B$261,B72,TAX!$AA$7:$AA$261)</f>
        <v>951538.4615384615</v>
      </c>
      <c r="F72" s="240">
        <f>IF(B72=(OR(0=TRUE(),""=TRUE())),0,((SUMIF(TAX!$B$7:$B$137,ເອກະສານແຈ້ງອາກອນ!B72,TAX!$AO$7:$AO$137))))</f>
        <v>0</v>
      </c>
      <c r="G72" s="240">
        <f t="shared" ca="1" si="5"/>
        <v>200000</v>
      </c>
      <c r="H72" s="240">
        <f t="shared" ca="1" si="6"/>
        <v>751538.4615384615</v>
      </c>
      <c r="I72" s="241">
        <f t="shared" ca="1" si="7"/>
        <v>37576.923076923078</v>
      </c>
      <c r="J72" s="242">
        <f t="shared" ca="1" si="8"/>
        <v>913961.53846153838</v>
      </c>
    </row>
    <row r="73" spans="1:10">
      <c r="A73" s="243">
        <v>65</v>
      </c>
      <c r="B73" s="133" t="str">
        <v>MYL202502032</v>
      </c>
      <c r="C73" s="238" t="str">
        <f t="array" ref="C73:D73">_xlfn.IFNA(VLOOKUP(B73,TAX!B:AH,{2,4},0),"")</f>
        <v>MR BAIPHONE SYTHALATH</v>
      </c>
      <c r="D73" s="244" t="str">
        <v>PACKING</v>
      </c>
      <c r="E73" s="240">
        <f ca="1">SUMIF(TAX!$B$7:$B$261,B73,TAX!$H$7:$H$261)-SUMIF(TAX!$B$7:$B$261,B73,TAX!$AA$7:$AA$261)</f>
        <v>2600000</v>
      </c>
      <c r="F73" s="240">
        <f ca="1">IF(B73=(OR(0=TRUE(),""=TRUE())),0,((SUMIF(TAX!$B$7:$B$137,ເອກະສານແຈ້ງອາກອນ!B73,TAX!$AO$7:$AO$137))))</f>
        <v>2091105.769230769</v>
      </c>
      <c r="G73" s="240">
        <f t="shared" ref="G73:G104" ca="1" si="9">IF(E73+F73&gt;200001,200000,0)</f>
        <v>200000</v>
      </c>
      <c r="H73" s="240">
        <f t="shared" ref="H73:H104" ca="1" si="10">E73+F73-G73</f>
        <v>4491105.769230769</v>
      </c>
      <c r="I73" s="241">
        <f t="shared" ref="I73:I104" ca="1" si="11">H73*5%</f>
        <v>224555.28846153847</v>
      </c>
      <c r="J73" s="242">
        <f t="shared" ref="J73:J104" ca="1" si="12">(E73+F73)-I73</f>
        <v>4466550.480769231</v>
      </c>
    </row>
    <row r="74" spans="1:10">
      <c r="A74" s="243">
        <v>66</v>
      </c>
      <c r="B74" s="133" t="str">
        <v>MYL202503139</v>
      </c>
      <c r="C74" s="238" t="str">
        <f t="array" ref="C74:D74">_xlfn.IFNA(VLOOKUP(B74,TAX!B:AH,{2,4},0),"")</f>
        <v>MR VANHOUDONE PHOMMATHAI</v>
      </c>
      <c r="D74" s="244" t="str">
        <v>PACKING</v>
      </c>
      <c r="E74" s="240">
        <f ca="1">SUMIF(TAX!$B$7:$B$261,B74,TAX!$H$7:$H$261)-SUMIF(TAX!$B$7:$B$261,B74,TAX!$AA$7:$AA$261)</f>
        <v>673076.92307692301</v>
      </c>
      <c r="F74" s="240">
        <f ca="1">IF(B74=(OR(0=TRUE(),""=TRUE())),0,((SUMIF(TAX!$B$7:$B$137,ເອກະສານແຈ້ງອາກອນ!B74,TAX!$AO$7:$AO$137))))</f>
        <v>498437.5</v>
      </c>
      <c r="G74" s="240">
        <f t="shared" ca="1" si="9"/>
        <v>200000</v>
      </c>
      <c r="H74" s="240">
        <f t="shared" ca="1" si="10"/>
        <v>971514.42307692301</v>
      </c>
      <c r="I74" s="241">
        <f t="shared" ca="1" si="11"/>
        <v>48575.721153846156</v>
      </c>
      <c r="J74" s="242">
        <f t="shared" ca="1" si="12"/>
        <v>1122938.7019230768</v>
      </c>
    </row>
    <row r="75" spans="1:10">
      <c r="A75" s="243">
        <v>67</v>
      </c>
      <c r="B75" s="133" t="str">
        <v>MYL000006</v>
      </c>
      <c r="C75" s="238" t="str">
        <f t="array" ref="C75:D75">_xlfn.IFNA(VLOOKUP(B75,TAX!B:AH,{2,4},0),"")</f>
        <v>MISS PHONEMANY BANPHACHA</v>
      </c>
      <c r="D75" s="244" t="str">
        <v>PACKING</v>
      </c>
      <c r="E75" s="240">
        <f ca="1">SUMIF(TAX!$B$7:$B$261,B75,TAX!$H$7:$H$261)-SUMIF(TAX!$B$7:$B$261,B75,TAX!$AA$7:$AA$261)</f>
        <v>3500000</v>
      </c>
      <c r="F75" s="240">
        <f ca="1">IF(B75=(OR(0=TRUE(),""=TRUE())),0,((SUMIF(TAX!$B$7:$B$137,ເອກະສານແຈ້ງອາກອນ!B75,TAX!$AO$7:$AO$137))))</f>
        <v>0</v>
      </c>
      <c r="G75" s="240">
        <f t="shared" ca="1" si="9"/>
        <v>200000</v>
      </c>
      <c r="H75" s="240">
        <f t="shared" ca="1" si="10"/>
        <v>3300000</v>
      </c>
      <c r="I75" s="241">
        <f t="shared" ca="1" si="11"/>
        <v>165000</v>
      </c>
      <c r="J75" s="242">
        <f t="shared" ca="1" si="12"/>
        <v>3335000</v>
      </c>
    </row>
    <row r="76" spans="1:10">
      <c r="A76" s="243">
        <v>68</v>
      </c>
      <c r="B76" s="133" t="str">
        <v>MYL000007</v>
      </c>
      <c r="C76" s="238" t="str">
        <f t="array" ref="C76:D76">_xlfn.IFNA(VLOOKUP(B76,TAX!B:AH,{2,4},0),"")</f>
        <v>MISS DOUANGDAO BANPHACHA</v>
      </c>
      <c r="D76" s="244" t="str">
        <v>PACKING</v>
      </c>
      <c r="E76" s="240">
        <f ca="1">SUMIF(TAX!$B$7:$B$261,B76,TAX!$H$7:$H$261)-SUMIF(TAX!$B$7:$B$261,B76,TAX!$AA$7:$AA$261)</f>
        <v>3500000</v>
      </c>
      <c r="F76" s="240">
        <f ca="1">IF(B76=(OR(0=TRUE(),""=TRUE())),0,((SUMIF(TAX!$B$7:$B$137,ເອກະສານແຈ້ງອາກອນ!B76,TAX!$AO$7:$AO$137))))</f>
        <v>0</v>
      </c>
      <c r="G76" s="240">
        <f t="shared" ca="1" si="9"/>
        <v>200000</v>
      </c>
      <c r="H76" s="240">
        <f t="shared" ca="1" si="10"/>
        <v>3300000</v>
      </c>
      <c r="I76" s="241">
        <f t="shared" ca="1" si="11"/>
        <v>165000</v>
      </c>
      <c r="J76" s="242">
        <f t="shared" ca="1" si="12"/>
        <v>3335000</v>
      </c>
    </row>
    <row r="77" spans="1:10">
      <c r="A77" s="243">
        <v>69</v>
      </c>
      <c r="B77" s="133" t="str">
        <v>MYL202502007</v>
      </c>
      <c r="C77" s="238" t="str">
        <f t="array" ref="C77:D77">_xlfn.IFNA(VLOOKUP(B77,TAX!B:AH,{2,4},0),"")</f>
        <v>MR CHANETHAVISAI PHATTHANA</v>
      </c>
      <c r="D77" s="244" t="str">
        <v>STORE TT</v>
      </c>
      <c r="E77" s="240">
        <f ca="1">SUMIF(TAX!$B$7:$B$261,B77,TAX!$H$7:$H$261)-SUMIF(TAX!$B$7:$B$261,B77,TAX!$AA$7:$AA$261)</f>
        <v>5445360</v>
      </c>
      <c r="F77" s="240">
        <f ca="1">IF(B77=(OR(0=TRUE(),""=TRUE())),0,((SUMIF(TAX!$B$7:$B$137,ເອກະສານແຈ້ງອາກອນ!B77,TAX!$AO$7:$AO$137))))</f>
        <v>0</v>
      </c>
      <c r="G77" s="240">
        <f t="shared" ca="1" si="9"/>
        <v>200000</v>
      </c>
      <c r="H77" s="240">
        <f t="shared" ca="1" si="10"/>
        <v>5245360</v>
      </c>
      <c r="I77" s="241">
        <f t="shared" ca="1" si="11"/>
        <v>262268</v>
      </c>
      <c r="J77" s="242">
        <f t="shared" ca="1" si="12"/>
        <v>5183092</v>
      </c>
    </row>
    <row r="78" spans="1:10">
      <c r="A78" s="243">
        <v>70</v>
      </c>
      <c r="B78" s="133" t="str">
        <v>MYL202410021</v>
      </c>
      <c r="C78" s="238" t="str">
        <f t="array" ref="C78:D78">_xlfn.IFNA(VLOOKUP(B78,TAX!B:AH,{2,4},0),"")</f>
        <v xml:space="preserve">MISS PANATDA </v>
      </c>
      <c r="D78" s="244" t="str">
        <v>STORE TT</v>
      </c>
      <c r="E78" s="240">
        <f ca="1">SUMIF(TAX!$B$7:$B$261,B78,TAX!$H$7:$H$261)-SUMIF(TAX!$B$7:$B$261,B78,TAX!$AA$7:$AA$261)</f>
        <v>4712330.769230769</v>
      </c>
      <c r="F78" s="240">
        <f ca="1">IF(B78=(OR(0=TRUE(),""=TRUE())),0,((SUMIF(TAX!$B$7:$B$137,ເອກະສານແຈ້ງອາກອນ!B78,TAX!$AO$7:$AO$137))))</f>
        <v>192307.69230769231</v>
      </c>
      <c r="G78" s="240">
        <f t="shared" ca="1" si="9"/>
        <v>200000</v>
      </c>
      <c r="H78" s="240">
        <f t="shared" ca="1" si="10"/>
        <v>4704638.461538461</v>
      </c>
      <c r="I78" s="241">
        <f t="shared" ca="1" si="11"/>
        <v>235231.92307692306</v>
      </c>
      <c r="J78" s="242">
        <f t="shared" ca="1" si="12"/>
        <v>4669406.538461538</v>
      </c>
    </row>
    <row r="79" spans="1:10" hidden="1">
      <c r="A79" s="243">
        <v>71</v>
      </c>
      <c r="B79" s="133" t="str">
        <v>MYL202606</v>
      </c>
      <c r="C79" s="238" t="str">
        <f t="array" ref="C79:D79">_xlfn.IFNA(VLOOKUP(B79,TAX!B:AH,{2,4},0),"")</f>
        <v>MISS MAION</v>
      </c>
      <c r="D79" s="244" t="str">
        <v>Assembly_PTS</v>
      </c>
      <c r="E79" s="240">
        <f ca="1">SUMIF(TAX!$B$7:$B$261,B79,TAX!$H$7:$H$261)-SUMIF(TAX!$B$7:$B$261,B79,TAX!$AA$7:$AA$261)</f>
        <v>1634615.3846153845</v>
      </c>
      <c r="F79" s="240">
        <f>IF(B79=(OR(0=TRUE(),""=TRUE())),0,((SUMIF(TAX!$B$7:$B$137,ເອກະສານແຈ້ງອາກອນ!B79,TAX!$AO$7:$AO$137))))</f>
        <v>0</v>
      </c>
      <c r="G79" s="240">
        <f t="shared" ca="1" si="9"/>
        <v>200000</v>
      </c>
      <c r="H79" s="240">
        <f t="shared" ca="1" si="10"/>
        <v>1434615.3846153845</v>
      </c>
      <c r="I79" s="241">
        <f t="shared" ca="1" si="11"/>
        <v>71730.769230769234</v>
      </c>
      <c r="J79" s="242">
        <f t="shared" ca="1" si="12"/>
        <v>1562884.6153846153</v>
      </c>
    </row>
    <row r="80" spans="1:10" hidden="1">
      <c r="A80" s="243"/>
      <c r="B80" s="133"/>
      <c r="C80" s="238" t="str">
        <f t="array" ref="C80">_xlfn.IFNA(VLOOKUP(B80,TAX!B:AH,{2,4},0),"")</f>
        <v/>
      </c>
      <c r="D80" s="244"/>
      <c r="E80" s="240">
        <f>SUMIF(TAX!$B$7:$B$261,B80,TAX!$H$7:$H$261)-SUMIF(TAX!$B$7:$B$261,B80,TAX!$AA$7:$AA$261)</f>
        <v>0</v>
      </c>
      <c r="F80" s="240">
        <f>IF(B80=(OR(0=TRUE(),""=TRUE())),0,((SUMIF(TAX!$B$7:$B$137,ເອກະສານແຈ້ງອາກອນ!B80,TAX!$AO$7:$AO$137))))</f>
        <v>0</v>
      </c>
      <c r="G80" s="240">
        <f t="shared" si="9"/>
        <v>0</v>
      </c>
      <c r="H80" s="240">
        <f t="shared" si="10"/>
        <v>0</v>
      </c>
      <c r="I80" s="241">
        <f t="shared" si="11"/>
        <v>0</v>
      </c>
      <c r="J80" s="242">
        <f t="shared" si="12"/>
        <v>0</v>
      </c>
    </row>
    <row r="81" spans="1:10" hidden="1">
      <c r="A81" s="243"/>
      <c r="B81" s="133"/>
      <c r="C81" s="238" t="str">
        <f t="array" ref="C81">_xlfn.IFNA(VLOOKUP(B81,TAX!B:AH,{2,4},0),"")</f>
        <v/>
      </c>
      <c r="D81" s="244"/>
      <c r="E81" s="240">
        <f>SUMIF(TAX!$B$7:$B$261,B81,TAX!$H$7:$H$261)-SUMIF(TAX!$B$7:$B$261,B81,TAX!$AA$7:$AA$261)</f>
        <v>0</v>
      </c>
      <c r="F81" s="240">
        <f>IF(B81=(OR(0=TRUE(),""=TRUE())),0,((SUMIF(TAX!$B$7:$B$137,ເອກະສານແຈ້ງອາກອນ!B81,TAX!$AO$7:$AO$137))))</f>
        <v>0</v>
      </c>
      <c r="G81" s="240">
        <f t="shared" si="9"/>
        <v>0</v>
      </c>
      <c r="H81" s="240">
        <f t="shared" si="10"/>
        <v>0</v>
      </c>
      <c r="I81" s="241">
        <f t="shared" si="11"/>
        <v>0</v>
      </c>
      <c r="J81" s="242">
        <f t="shared" si="12"/>
        <v>0</v>
      </c>
    </row>
    <row r="82" spans="1:10" hidden="1">
      <c r="A82" s="243"/>
      <c r="B82" s="133"/>
      <c r="C82" s="238" t="str">
        <f t="array" ref="C82">_xlfn.IFNA(VLOOKUP(B82,TAX!B:AH,{2,4},0),"")</f>
        <v/>
      </c>
      <c r="D82" s="244"/>
      <c r="E82" s="240">
        <f>SUMIF(TAX!$B$7:$B$261,B82,TAX!$H$7:$H$261)-SUMIF(TAX!$B$7:$B$261,B82,TAX!$AA$7:$AA$261)</f>
        <v>0</v>
      </c>
      <c r="F82" s="240">
        <f>IF(B82=(OR(0=TRUE(),""=TRUE())),0,((SUMIF(TAX!$B$7:$B$137,ເອກະສານແຈ້ງອາກອນ!B82,TAX!$AO$7:$AO$137))))</f>
        <v>0</v>
      </c>
      <c r="G82" s="240">
        <f t="shared" si="9"/>
        <v>0</v>
      </c>
      <c r="H82" s="240">
        <f t="shared" si="10"/>
        <v>0</v>
      </c>
      <c r="I82" s="241">
        <f t="shared" si="11"/>
        <v>0</v>
      </c>
      <c r="J82" s="242">
        <f t="shared" si="12"/>
        <v>0</v>
      </c>
    </row>
    <row r="83" spans="1:10" hidden="1">
      <c r="A83" s="243"/>
      <c r="B83" s="133"/>
      <c r="C83" s="238" t="str">
        <f t="array" ref="C83">_xlfn.IFNA(VLOOKUP(B83,TAX!B:AH,{2,4},0),"")</f>
        <v/>
      </c>
      <c r="D83" s="244"/>
      <c r="E83" s="240">
        <f>SUMIF(TAX!$B$7:$B$261,B83,TAX!$H$7:$H$261)-SUMIF(TAX!$B$7:$B$261,B83,TAX!$AA$7:$AA$261)</f>
        <v>0</v>
      </c>
      <c r="F83" s="240">
        <f>IF(B83=(OR(0=TRUE(),""=TRUE())),0,((SUMIF(TAX!$B$7:$B$137,ເອກະສານແຈ້ງອາກອນ!B83,TAX!$AO$7:$AO$137))))</f>
        <v>0</v>
      </c>
      <c r="G83" s="240">
        <f t="shared" si="9"/>
        <v>0</v>
      </c>
      <c r="H83" s="240">
        <f t="shared" si="10"/>
        <v>0</v>
      </c>
      <c r="I83" s="241">
        <f t="shared" si="11"/>
        <v>0</v>
      </c>
      <c r="J83" s="242">
        <f t="shared" si="12"/>
        <v>0</v>
      </c>
    </row>
    <row r="84" spans="1:10" hidden="1">
      <c r="A84" s="243"/>
      <c r="B84" s="133"/>
      <c r="C84" s="238" t="str">
        <f t="array" ref="C84">_xlfn.IFNA(VLOOKUP(B84,TAX!B:AH,{2,4},0),"")</f>
        <v/>
      </c>
      <c r="D84" s="244"/>
      <c r="E84" s="240">
        <f>SUMIF(TAX!$B$7:$B$261,B84,TAX!$H$7:$H$261)-SUMIF(TAX!$B$7:$B$261,B84,TAX!$AA$7:$AA$261)</f>
        <v>0</v>
      </c>
      <c r="F84" s="240">
        <f>IF(B84=(OR(0=TRUE(),""=TRUE())),0,((SUMIF(TAX!$B$7:$B$137,ເອກະສານແຈ້ງອາກອນ!B84,TAX!$AO$7:$AO$137))))</f>
        <v>0</v>
      </c>
      <c r="G84" s="240">
        <f t="shared" si="9"/>
        <v>0</v>
      </c>
      <c r="H84" s="240">
        <f t="shared" si="10"/>
        <v>0</v>
      </c>
      <c r="I84" s="241">
        <f t="shared" si="11"/>
        <v>0</v>
      </c>
      <c r="J84" s="242">
        <f t="shared" si="12"/>
        <v>0</v>
      </c>
    </row>
    <row r="85" spans="1:10" hidden="1">
      <c r="A85" s="243"/>
      <c r="B85" s="133"/>
      <c r="C85" s="238" t="str">
        <f t="array" ref="C85">_xlfn.IFNA(VLOOKUP(B85,TAX!B:AH,{2,4},0),"")</f>
        <v/>
      </c>
      <c r="D85" s="244"/>
      <c r="E85" s="240">
        <f>SUMIF(TAX!$B$7:$B$261,B85,TAX!$H$7:$H$261)-SUMIF(TAX!$B$7:$B$261,B85,TAX!$AA$7:$AA$261)</f>
        <v>0</v>
      </c>
      <c r="F85" s="240">
        <f>IF(B85=(OR(0=TRUE(),""=TRUE())),0,((SUMIF(TAX!$B$7:$B$137,ເອກະສານແຈ້ງອາກອນ!B85,TAX!$AO$7:$AO$137))))</f>
        <v>0</v>
      </c>
      <c r="G85" s="240">
        <f t="shared" si="9"/>
        <v>0</v>
      </c>
      <c r="H85" s="240">
        <f t="shared" si="10"/>
        <v>0</v>
      </c>
      <c r="I85" s="241">
        <f t="shared" si="11"/>
        <v>0</v>
      </c>
      <c r="J85" s="242">
        <f t="shared" si="12"/>
        <v>0</v>
      </c>
    </row>
    <row r="86" spans="1:10" hidden="1">
      <c r="A86" s="243"/>
      <c r="B86" s="133"/>
      <c r="C86" s="238" t="str">
        <f t="array" ref="C86">_xlfn.IFNA(VLOOKUP(B86,TAX!B:AH,{2,4},0),"")</f>
        <v/>
      </c>
      <c r="D86" s="244"/>
      <c r="E86" s="240">
        <f>SUMIF(TAX!$B$7:$B$261,B86,TAX!$H$7:$H$261)-SUMIF(TAX!$B$7:$B$261,B86,TAX!$AA$7:$AA$261)</f>
        <v>0</v>
      </c>
      <c r="F86" s="240">
        <f>IF(B86=(OR(0=TRUE(),""=TRUE())),0,((SUMIF(TAX!$B$7:$B$137,ເອກະສານແຈ້ງອາກອນ!B86,TAX!$AO$7:$AO$137))))</f>
        <v>0</v>
      </c>
      <c r="G86" s="240">
        <f t="shared" si="9"/>
        <v>0</v>
      </c>
      <c r="H86" s="240">
        <f t="shared" si="10"/>
        <v>0</v>
      </c>
      <c r="I86" s="241">
        <f t="shared" si="11"/>
        <v>0</v>
      </c>
      <c r="J86" s="242">
        <f t="shared" si="12"/>
        <v>0</v>
      </c>
    </row>
    <row r="87" spans="1:10" hidden="1">
      <c r="A87" s="243"/>
      <c r="B87" s="133"/>
      <c r="C87" s="238" t="str">
        <f t="array" ref="C87">_xlfn.IFNA(VLOOKUP(B87,TAX!B:AH,{2,4},0),"")</f>
        <v/>
      </c>
      <c r="D87" s="244"/>
      <c r="E87" s="240">
        <f>SUMIF(TAX!$B$7:$B$261,B87,TAX!$H$7:$H$261)-SUMIF(TAX!$B$7:$B$261,B87,TAX!$AA$7:$AA$261)</f>
        <v>0</v>
      </c>
      <c r="F87" s="240">
        <f>IF(B87=(OR(0=TRUE(),""=TRUE())),0,((SUMIF(TAX!$B$7:$B$137,ເອກະສານແຈ້ງອາກອນ!B87,TAX!$AO$7:$AO$137))))</f>
        <v>0</v>
      </c>
      <c r="G87" s="240">
        <f t="shared" si="9"/>
        <v>0</v>
      </c>
      <c r="H87" s="240">
        <f t="shared" si="10"/>
        <v>0</v>
      </c>
      <c r="I87" s="241">
        <f t="shared" si="11"/>
        <v>0</v>
      </c>
      <c r="J87" s="242">
        <f t="shared" si="12"/>
        <v>0</v>
      </c>
    </row>
    <row r="88" spans="1:10" hidden="1">
      <c r="A88" s="243"/>
      <c r="B88" s="133"/>
      <c r="C88" s="238" t="str">
        <f t="array" ref="C88">_xlfn.IFNA(VLOOKUP(B88,TAX!B:AH,{2,4},0),"")</f>
        <v/>
      </c>
      <c r="D88" s="244"/>
      <c r="E88" s="240">
        <f>SUMIF(TAX!$B$7:$B$261,B88,TAX!$H$7:$H$261)-SUMIF(TAX!$B$7:$B$261,B88,TAX!$AA$7:$AA$261)</f>
        <v>0</v>
      </c>
      <c r="F88" s="240">
        <f>IF(B88=(OR(0=TRUE(),""=TRUE())),0,((SUMIF(TAX!$B$7:$B$137,ເອກະສານແຈ້ງອາກອນ!B88,TAX!$AO$7:$AO$137))))</f>
        <v>0</v>
      </c>
      <c r="G88" s="240">
        <f t="shared" si="9"/>
        <v>0</v>
      </c>
      <c r="H88" s="240">
        <f t="shared" si="10"/>
        <v>0</v>
      </c>
      <c r="I88" s="241">
        <f t="shared" si="11"/>
        <v>0</v>
      </c>
      <c r="J88" s="242">
        <f t="shared" si="12"/>
        <v>0</v>
      </c>
    </row>
    <row r="89" spans="1:10" hidden="1">
      <c r="A89" s="243"/>
      <c r="B89" s="133"/>
      <c r="C89" s="238" t="str">
        <f t="array" ref="C89">_xlfn.IFNA(VLOOKUP(B89,TAX!B:AH,{2,4},0),"")</f>
        <v/>
      </c>
      <c r="D89" s="244"/>
      <c r="E89" s="240">
        <f>SUMIF(TAX!$B$7:$B$261,B89,TAX!$H$7:$H$261)-SUMIF(TAX!$B$7:$B$261,B89,TAX!$AA$7:$AA$261)</f>
        <v>0</v>
      </c>
      <c r="F89" s="240">
        <f>IF(B89=(OR(0=TRUE(),""=TRUE())),0,((SUMIF(TAX!$B$7:$B$137,ເອກະສານແຈ້ງອາກອນ!B89,TAX!$AO$7:$AO$137))))</f>
        <v>0</v>
      </c>
      <c r="G89" s="240">
        <f t="shared" si="9"/>
        <v>0</v>
      </c>
      <c r="H89" s="240">
        <f t="shared" si="10"/>
        <v>0</v>
      </c>
      <c r="I89" s="241">
        <f t="shared" si="11"/>
        <v>0</v>
      </c>
      <c r="J89" s="242">
        <f t="shared" si="12"/>
        <v>0</v>
      </c>
    </row>
    <row r="90" spans="1:10" hidden="1">
      <c r="A90" s="243"/>
      <c r="B90" s="133"/>
      <c r="C90" s="238" t="str">
        <f t="array" ref="C90">_xlfn.IFNA(VLOOKUP(B90,TAX!B:AH,{2,4},0),"")</f>
        <v/>
      </c>
      <c r="D90" s="244"/>
      <c r="E90" s="240">
        <f>SUMIF(TAX!$B$7:$B$261,B90,TAX!$H$7:$H$261)-SUMIF(TAX!$B$7:$B$261,B90,TAX!$AA$7:$AA$261)</f>
        <v>0</v>
      </c>
      <c r="F90" s="240">
        <f>IF(B90=(OR(0=TRUE(),""=TRUE())),0,((SUMIF(TAX!$B$7:$B$137,ເອກະສານແຈ້ງອາກອນ!B90,TAX!$AO$7:$AO$137))))</f>
        <v>0</v>
      </c>
      <c r="G90" s="240">
        <f t="shared" si="9"/>
        <v>0</v>
      </c>
      <c r="H90" s="240">
        <f t="shared" si="10"/>
        <v>0</v>
      </c>
      <c r="I90" s="241">
        <f t="shared" si="11"/>
        <v>0</v>
      </c>
      <c r="J90" s="242">
        <f t="shared" si="12"/>
        <v>0</v>
      </c>
    </row>
    <row r="91" spans="1:10" hidden="1">
      <c r="A91" s="243"/>
      <c r="B91" s="133"/>
      <c r="C91" s="238" t="str">
        <f t="array" ref="C91">_xlfn.IFNA(VLOOKUP(B91,TAX!B:AH,{2,4},0),"")</f>
        <v/>
      </c>
      <c r="D91" s="244"/>
      <c r="E91" s="240">
        <f>SUMIF(TAX!$B$7:$B$261,B91,TAX!$H$7:$H$261)-SUMIF(TAX!$B$7:$B$261,B91,TAX!$AA$7:$AA$261)</f>
        <v>0</v>
      </c>
      <c r="F91" s="240">
        <f>IF(B91=(OR(0=TRUE(),""=TRUE())),0,((SUMIF(TAX!$B$7:$B$137,ເອກະສານແຈ້ງອາກອນ!B91,TAX!$AO$7:$AO$137))))</f>
        <v>0</v>
      </c>
      <c r="G91" s="240">
        <f t="shared" si="9"/>
        <v>0</v>
      </c>
      <c r="H91" s="240">
        <f t="shared" si="10"/>
        <v>0</v>
      </c>
      <c r="I91" s="241">
        <f t="shared" si="11"/>
        <v>0</v>
      </c>
      <c r="J91" s="242">
        <f t="shared" si="12"/>
        <v>0</v>
      </c>
    </row>
    <row r="92" spans="1:10" hidden="1">
      <c r="A92" s="243"/>
      <c r="B92" s="133"/>
      <c r="C92" s="238" t="str">
        <f t="array" ref="C92">_xlfn.IFNA(VLOOKUP(B92,TAX!B:AH,{2,4},0),"")</f>
        <v/>
      </c>
      <c r="D92" s="244"/>
      <c r="E92" s="240">
        <f>SUMIF(TAX!$B$7:$B$261,B92,TAX!$H$7:$H$261)-SUMIF(TAX!$B$7:$B$261,B92,TAX!$AA$7:$AA$261)</f>
        <v>0</v>
      </c>
      <c r="F92" s="240">
        <f>IF(B92=(OR(0=TRUE(),""=TRUE())),0,((SUMIF(TAX!$B$7:$B$137,ເອກະສານແຈ້ງອາກອນ!B92,TAX!$AO$7:$AO$137))))</f>
        <v>0</v>
      </c>
      <c r="G92" s="240">
        <f t="shared" si="9"/>
        <v>0</v>
      </c>
      <c r="H92" s="240">
        <f t="shared" si="10"/>
        <v>0</v>
      </c>
      <c r="I92" s="241">
        <f t="shared" si="11"/>
        <v>0</v>
      </c>
      <c r="J92" s="242">
        <f t="shared" si="12"/>
        <v>0</v>
      </c>
    </row>
    <row r="93" spans="1:10" hidden="1">
      <c r="A93" s="243"/>
      <c r="B93" s="133"/>
      <c r="C93" s="238" t="str">
        <f t="array" ref="C93">_xlfn.IFNA(VLOOKUP(B93,TAX!B:AH,{2,4},0),"")</f>
        <v/>
      </c>
      <c r="D93" s="244"/>
      <c r="E93" s="240">
        <f>SUMIF(TAX!$B$7:$B$261,B93,TAX!$H$7:$H$261)-SUMIF(TAX!$B$7:$B$261,B93,TAX!$AA$7:$AA$261)</f>
        <v>0</v>
      </c>
      <c r="F93" s="240">
        <f>IF(B93=(OR(0=TRUE(),""=TRUE())),0,((SUMIF(TAX!$B$7:$B$137,ເອກະສານແຈ້ງອາກອນ!B93,TAX!$AO$7:$AO$137))))</f>
        <v>0</v>
      </c>
      <c r="G93" s="240">
        <f t="shared" si="9"/>
        <v>0</v>
      </c>
      <c r="H93" s="240">
        <f t="shared" si="10"/>
        <v>0</v>
      </c>
      <c r="I93" s="241">
        <f t="shared" si="11"/>
        <v>0</v>
      </c>
      <c r="J93" s="242">
        <f t="shared" si="12"/>
        <v>0</v>
      </c>
    </row>
    <row r="94" spans="1:10" hidden="1">
      <c r="A94" s="243"/>
      <c r="B94" s="133"/>
      <c r="C94" s="238" t="str">
        <f t="array" ref="C94">_xlfn.IFNA(VLOOKUP(B94,TAX!B:AH,{2,4},0),"")</f>
        <v/>
      </c>
      <c r="D94" s="244"/>
      <c r="E94" s="240">
        <f>SUMIF(TAX!$B$7:$B$261,B94,TAX!$H$7:$H$261)-SUMIF(TAX!$B$7:$B$261,B94,TAX!$AA$7:$AA$261)</f>
        <v>0</v>
      </c>
      <c r="F94" s="240">
        <f>IF(B94=(OR(0=TRUE(),""=TRUE())),0,((SUMIF(TAX!$B$7:$B$137,ເອກະສານແຈ້ງອາກອນ!B94,TAX!$AO$7:$AO$137))))</f>
        <v>0</v>
      </c>
      <c r="G94" s="240">
        <f t="shared" si="9"/>
        <v>0</v>
      </c>
      <c r="H94" s="240">
        <f t="shared" si="10"/>
        <v>0</v>
      </c>
      <c r="I94" s="241">
        <f t="shared" si="11"/>
        <v>0</v>
      </c>
      <c r="J94" s="242">
        <f t="shared" si="12"/>
        <v>0</v>
      </c>
    </row>
    <row r="95" spans="1:10" hidden="1">
      <c r="A95" s="243"/>
      <c r="B95" s="133"/>
      <c r="C95" s="238" t="str">
        <f t="array" ref="C95">_xlfn.IFNA(VLOOKUP(B95,TAX!B:AH,{2,4},0),"")</f>
        <v/>
      </c>
      <c r="D95" s="244"/>
      <c r="E95" s="240">
        <f>SUMIF(TAX!$B$7:$B$261,B95,TAX!$H$7:$H$261)-SUMIF(TAX!$B$7:$B$261,B95,TAX!$AA$7:$AA$261)</f>
        <v>0</v>
      </c>
      <c r="F95" s="240">
        <f>IF(B95=(OR(0=TRUE(),""=TRUE())),0,((SUMIF(TAX!$B$7:$B$137,ເອກະສານແຈ້ງອາກອນ!B95,TAX!$AO$7:$AO$137))))</f>
        <v>0</v>
      </c>
      <c r="G95" s="240">
        <f t="shared" si="9"/>
        <v>0</v>
      </c>
      <c r="H95" s="240">
        <f t="shared" si="10"/>
        <v>0</v>
      </c>
      <c r="I95" s="241">
        <f t="shared" si="11"/>
        <v>0</v>
      </c>
      <c r="J95" s="242">
        <f t="shared" si="12"/>
        <v>0</v>
      </c>
    </row>
    <row r="96" spans="1:10" hidden="1">
      <c r="A96" s="243"/>
      <c r="B96" s="133"/>
      <c r="C96" s="238" t="str">
        <f t="array" ref="C96">_xlfn.IFNA(VLOOKUP(B96,TAX!B:AH,{2,4},0),"")</f>
        <v/>
      </c>
      <c r="D96" s="244"/>
      <c r="E96" s="240">
        <f>SUMIF(TAX!$B$7:$B$261,B96,TAX!$H$7:$H$261)-SUMIF(TAX!$B$7:$B$261,B96,TAX!$AA$7:$AA$261)</f>
        <v>0</v>
      </c>
      <c r="F96" s="240">
        <f>IF(B96=(OR(0=TRUE(),""=TRUE())),0,((SUMIF(TAX!$B$7:$B$137,ເອກະສານແຈ້ງອາກອນ!B96,TAX!$AO$7:$AO$137))))</f>
        <v>0</v>
      </c>
      <c r="G96" s="240">
        <f t="shared" si="9"/>
        <v>0</v>
      </c>
      <c r="H96" s="240">
        <f t="shared" si="10"/>
        <v>0</v>
      </c>
      <c r="I96" s="241">
        <f t="shared" si="11"/>
        <v>0</v>
      </c>
      <c r="J96" s="242">
        <f t="shared" si="12"/>
        <v>0</v>
      </c>
    </row>
    <row r="97" spans="1:10" hidden="1">
      <c r="A97" s="243"/>
      <c r="B97" s="133"/>
      <c r="C97" s="238" t="str">
        <f t="array" ref="C97">_xlfn.IFNA(VLOOKUP(B97,TAX!B:AH,{2,4},0),"")</f>
        <v/>
      </c>
      <c r="D97" s="244"/>
      <c r="E97" s="240">
        <f>SUMIF(TAX!$B$7:$B$261,B97,TAX!$H$7:$H$261)-SUMIF(TAX!$B$7:$B$261,B97,TAX!$AA$7:$AA$261)</f>
        <v>0</v>
      </c>
      <c r="F97" s="240">
        <f>IF(B97=(OR(0=TRUE(),""=TRUE())),0,((SUMIF(TAX!$B$7:$B$137,ເອກະສານແຈ້ງອາກອນ!B97,TAX!$AO$7:$AO$137))))</f>
        <v>0</v>
      </c>
      <c r="G97" s="240">
        <f t="shared" si="9"/>
        <v>0</v>
      </c>
      <c r="H97" s="240">
        <f t="shared" si="10"/>
        <v>0</v>
      </c>
      <c r="I97" s="241">
        <f t="shared" si="11"/>
        <v>0</v>
      </c>
      <c r="J97" s="242">
        <f t="shared" si="12"/>
        <v>0</v>
      </c>
    </row>
    <row r="98" spans="1:10" hidden="1">
      <c r="A98" s="243"/>
      <c r="B98" s="133"/>
      <c r="C98" s="238" t="str">
        <f t="array" ref="C98">_xlfn.IFNA(VLOOKUP(B98,TAX!B:AH,{2,4},0),"")</f>
        <v/>
      </c>
      <c r="D98" s="244"/>
      <c r="E98" s="240">
        <f>SUMIF(TAX!$B$7:$B$261,B98,TAX!$H$7:$H$261)-SUMIF(TAX!$B$7:$B$261,B98,TAX!$AA$7:$AA$261)</f>
        <v>0</v>
      </c>
      <c r="F98" s="240">
        <f>IF(B98=(OR(0=TRUE(),""=TRUE())),0,((SUMIF(TAX!$B$7:$B$137,ເອກະສານແຈ້ງອາກອນ!B98,TAX!$AO$7:$AO$137))))</f>
        <v>0</v>
      </c>
      <c r="G98" s="240">
        <f t="shared" si="9"/>
        <v>0</v>
      </c>
      <c r="H98" s="240">
        <f t="shared" si="10"/>
        <v>0</v>
      </c>
      <c r="I98" s="241">
        <f t="shared" si="11"/>
        <v>0</v>
      </c>
      <c r="J98" s="242">
        <f t="shared" si="12"/>
        <v>0</v>
      </c>
    </row>
    <row r="99" spans="1:10" hidden="1">
      <c r="A99" s="243"/>
      <c r="B99" s="133"/>
      <c r="C99" s="238" t="str">
        <f t="array" ref="C99">_xlfn.IFNA(VLOOKUP(B99,TAX!B:AH,{2,4},0),"")</f>
        <v/>
      </c>
      <c r="D99" s="244"/>
      <c r="E99" s="240">
        <f>SUMIF(TAX!$B$7:$B$261,B99,TAX!$H$7:$H$261)-SUMIF(TAX!$B$7:$B$261,B99,TAX!$AA$7:$AA$261)</f>
        <v>0</v>
      </c>
      <c r="F99" s="240">
        <f>IF(B99=(OR(0=TRUE(),""=TRUE())),0,((SUMIF(TAX!$B$7:$B$137,ເອກະສານແຈ້ງອາກອນ!B99,TAX!$AO$7:$AO$137))))</f>
        <v>0</v>
      </c>
      <c r="G99" s="240">
        <f t="shared" si="9"/>
        <v>0</v>
      </c>
      <c r="H99" s="240">
        <f t="shared" si="10"/>
        <v>0</v>
      </c>
      <c r="I99" s="241">
        <f t="shared" si="11"/>
        <v>0</v>
      </c>
      <c r="J99" s="242">
        <f t="shared" si="12"/>
        <v>0</v>
      </c>
    </row>
    <row r="100" spans="1:10" hidden="1">
      <c r="A100" s="243"/>
      <c r="B100" s="133"/>
      <c r="C100" s="238" t="str">
        <f t="array" ref="C100">_xlfn.IFNA(VLOOKUP(B100,TAX!B:AH,{2,4},0),"")</f>
        <v/>
      </c>
      <c r="D100" s="244"/>
      <c r="E100" s="240">
        <f>SUMIF(TAX!$B$7:$B$261,B100,TAX!$H$7:$H$261)-SUMIF(TAX!$B$7:$B$261,B100,TAX!$AA$7:$AA$261)</f>
        <v>0</v>
      </c>
      <c r="F100" s="240">
        <f>IF(B100=(OR(0=TRUE(),""=TRUE())),0,((SUMIF(TAX!$B$7:$B$137,ເອກະສານແຈ້ງອາກອນ!B100,TAX!$AO$7:$AO$137))))</f>
        <v>0</v>
      </c>
      <c r="G100" s="240">
        <f t="shared" si="9"/>
        <v>0</v>
      </c>
      <c r="H100" s="240">
        <f t="shared" si="10"/>
        <v>0</v>
      </c>
      <c r="I100" s="241">
        <f t="shared" si="11"/>
        <v>0</v>
      </c>
      <c r="J100" s="242">
        <f t="shared" si="12"/>
        <v>0</v>
      </c>
    </row>
    <row r="101" spans="1:10" hidden="1">
      <c r="A101" s="243"/>
      <c r="B101" s="133"/>
      <c r="C101" s="238" t="str">
        <f t="array" ref="C101">_xlfn.IFNA(VLOOKUP(B101,TAX!B:AH,{2,4},0),"")</f>
        <v/>
      </c>
      <c r="D101" s="244"/>
      <c r="E101" s="240">
        <f>SUMIF(TAX!$B$7:$B$261,B101,TAX!$H$7:$H$261)-SUMIF(TAX!$B$7:$B$261,B101,TAX!$AA$7:$AA$261)</f>
        <v>0</v>
      </c>
      <c r="F101" s="240">
        <f>IF(B101=(OR(0=TRUE(),""=TRUE())),0,((SUMIF(TAX!$B$7:$B$137,ເອກະສານແຈ້ງອາກອນ!B101,TAX!$AO$7:$AO$137))))</f>
        <v>0</v>
      </c>
      <c r="G101" s="240">
        <f t="shared" si="9"/>
        <v>0</v>
      </c>
      <c r="H101" s="240">
        <f t="shared" si="10"/>
        <v>0</v>
      </c>
      <c r="I101" s="241">
        <f t="shared" si="11"/>
        <v>0</v>
      </c>
      <c r="J101" s="242">
        <f t="shared" si="12"/>
        <v>0</v>
      </c>
    </row>
    <row r="102" spans="1:10" hidden="1">
      <c r="A102" s="243"/>
      <c r="B102" s="133"/>
      <c r="C102" s="238" t="str">
        <f t="array" ref="C102">_xlfn.IFNA(VLOOKUP(B102,TAX!B:AH,{2,4},0),"")</f>
        <v/>
      </c>
      <c r="D102" s="244"/>
      <c r="E102" s="240">
        <f>SUMIF(TAX!$B$7:$B$261,B102,TAX!$H$7:$H$261)-SUMIF(TAX!$B$7:$B$261,B102,TAX!$AA$7:$AA$261)</f>
        <v>0</v>
      </c>
      <c r="F102" s="240">
        <f>IF(B102=(OR(0=TRUE(),""=TRUE())),0,((SUMIF(TAX!$B$7:$B$137,ເອກະສານແຈ້ງອາກອນ!B102,TAX!$AO$7:$AO$137))))</f>
        <v>0</v>
      </c>
      <c r="G102" s="240">
        <f t="shared" si="9"/>
        <v>0</v>
      </c>
      <c r="H102" s="240">
        <f t="shared" si="10"/>
        <v>0</v>
      </c>
      <c r="I102" s="241">
        <f t="shared" si="11"/>
        <v>0</v>
      </c>
      <c r="J102" s="242">
        <f t="shared" si="12"/>
        <v>0</v>
      </c>
    </row>
    <row r="103" spans="1:10" hidden="1">
      <c r="A103" s="243"/>
      <c r="B103" s="133"/>
      <c r="C103" s="238" t="str">
        <f t="array" ref="C103">_xlfn.IFNA(VLOOKUP(B103,TAX!B:AH,{2,4},0),"")</f>
        <v/>
      </c>
      <c r="D103" s="244"/>
      <c r="E103" s="240">
        <f>SUMIF(TAX!$B$7:$B$261,B103,TAX!$H$7:$H$261)-SUMIF(TAX!$B$7:$B$261,B103,TAX!$AA$7:$AA$261)</f>
        <v>0</v>
      </c>
      <c r="F103" s="240">
        <f>IF(B103=(OR(0=TRUE(),""=TRUE())),0,((SUMIF(TAX!$B$7:$B$137,ເອກະສານແຈ້ງອາກອນ!B103,TAX!$AO$7:$AO$137))))</f>
        <v>0</v>
      </c>
      <c r="G103" s="240">
        <f t="shared" si="9"/>
        <v>0</v>
      </c>
      <c r="H103" s="240">
        <f t="shared" si="10"/>
        <v>0</v>
      </c>
      <c r="I103" s="241">
        <f t="shared" si="11"/>
        <v>0</v>
      </c>
      <c r="J103" s="242">
        <f t="shared" si="12"/>
        <v>0</v>
      </c>
    </row>
    <row r="104" spans="1:10" hidden="1">
      <c r="A104" s="243"/>
      <c r="B104" s="133"/>
      <c r="C104" s="238" t="str">
        <f t="array" ref="C104">_xlfn.IFNA(VLOOKUP(B104,TAX!B:AH,{2,4},0),"")</f>
        <v/>
      </c>
      <c r="D104" s="244"/>
      <c r="E104" s="240">
        <f>SUMIF(TAX!$B$7:$B$261,B104,TAX!$H$7:$H$261)-SUMIF(TAX!$B$7:$B$261,B104,TAX!$AA$7:$AA$261)</f>
        <v>0</v>
      </c>
      <c r="F104" s="240">
        <f>IF(B104=(OR(0=TRUE(),""=TRUE())),0,((SUMIF(TAX!$B$7:$B$137,ເອກະສານແຈ້ງອາກອນ!B104,TAX!$AO$7:$AO$137))))</f>
        <v>0</v>
      </c>
      <c r="G104" s="240">
        <f t="shared" si="9"/>
        <v>0</v>
      </c>
      <c r="H104" s="240">
        <f t="shared" si="10"/>
        <v>0</v>
      </c>
      <c r="I104" s="241">
        <f t="shared" si="11"/>
        <v>0</v>
      </c>
      <c r="J104" s="242">
        <f t="shared" si="12"/>
        <v>0</v>
      </c>
    </row>
    <row r="105" spans="1:10" hidden="1">
      <c r="A105" s="243"/>
      <c r="B105" s="133"/>
      <c r="C105" s="238" t="str">
        <f t="array" ref="C105">_xlfn.IFNA(VLOOKUP(B105,TAX!B:AH,{2,4},0),"")</f>
        <v/>
      </c>
      <c r="D105" s="244"/>
      <c r="E105" s="240">
        <f>SUMIF(TAX!$B$7:$B$261,B105,TAX!$H$7:$H$261)-SUMIF(TAX!$B$7:$B$261,B105,TAX!$AA$7:$AA$261)</f>
        <v>0</v>
      </c>
      <c r="F105" s="240">
        <f>IF(B105=(OR(0=TRUE(),""=TRUE())),0,((SUMIF(TAX!$B$7:$B$137,ເອກະສານແຈ້ງອາກອນ!B105,TAX!$AO$7:$AO$137))))</f>
        <v>0</v>
      </c>
      <c r="G105" s="240">
        <f t="shared" ref="G105:G108" si="13">IF(E105+F105&gt;200001,200000,0)</f>
        <v>0</v>
      </c>
      <c r="H105" s="240">
        <f t="shared" ref="H105:H108" si="14">E105+F105-G105</f>
        <v>0</v>
      </c>
      <c r="I105" s="241">
        <f t="shared" ref="I105:I108" si="15">H105*5%</f>
        <v>0</v>
      </c>
      <c r="J105" s="242">
        <f t="shared" ref="J105:J108" si="16">(E105+F105)-I105</f>
        <v>0</v>
      </c>
    </row>
    <row r="106" spans="1:10" hidden="1">
      <c r="A106" s="243"/>
      <c r="B106" s="133"/>
      <c r="C106" s="238" t="str">
        <f t="array" ref="C106">_xlfn.IFNA(VLOOKUP(B106,TAX!B:AH,{2,4},0),"")</f>
        <v/>
      </c>
      <c r="D106" s="244"/>
      <c r="E106" s="240">
        <f>SUMIF(TAX!$B$7:$B$261,B106,TAX!$H$7:$H$261)-SUMIF(TAX!$B$7:$B$261,B106,TAX!$AA$7:$AA$261)</f>
        <v>0</v>
      </c>
      <c r="F106" s="240">
        <f>IF(B106=(OR(0=TRUE(),""=TRUE())),0,((SUMIF(TAX!$B$7:$B$137,ເອກະສານແຈ້ງອາກອນ!B106,TAX!$AO$7:$AO$137))))</f>
        <v>0</v>
      </c>
      <c r="G106" s="240">
        <f t="shared" si="13"/>
        <v>0</v>
      </c>
      <c r="H106" s="240">
        <f t="shared" si="14"/>
        <v>0</v>
      </c>
      <c r="I106" s="241">
        <f t="shared" si="15"/>
        <v>0</v>
      </c>
      <c r="J106" s="242">
        <f t="shared" si="16"/>
        <v>0</v>
      </c>
    </row>
    <row r="107" spans="1:10" hidden="1">
      <c r="A107" s="243"/>
      <c r="B107" s="133"/>
      <c r="C107" s="238" t="str">
        <f t="array" ref="C107">_xlfn.IFNA(VLOOKUP(B107,TAX!B:AH,{2,4},0),"")</f>
        <v/>
      </c>
      <c r="D107" s="244"/>
      <c r="E107" s="240">
        <f>SUMIF(TAX!$B$7:$B$261,B107,TAX!$H$7:$H$261)-SUMIF(TAX!$B$7:$B$261,B107,TAX!$AA$7:$AA$261)</f>
        <v>0</v>
      </c>
      <c r="F107" s="240">
        <f>IF(B107=(OR(0=TRUE(),""=TRUE())),0,((SUMIF(TAX!$B$7:$B$137,ເອກະສານແຈ້ງອາກອນ!B107,TAX!$AO$7:$AO$137))))</f>
        <v>0</v>
      </c>
      <c r="G107" s="240">
        <f t="shared" si="13"/>
        <v>0</v>
      </c>
      <c r="H107" s="240">
        <f t="shared" si="14"/>
        <v>0</v>
      </c>
      <c r="I107" s="241">
        <f t="shared" si="15"/>
        <v>0</v>
      </c>
      <c r="J107" s="242">
        <f t="shared" si="16"/>
        <v>0</v>
      </c>
    </row>
    <row r="108" spans="1:10" hidden="1">
      <c r="A108" s="245"/>
      <c r="B108" s="246"/>
      <c r="C108" s="247"/>
      <c r="D108" s="248"/>
      <c r="E108" s="240">
        <f>SUMIF(TAX!$B$7:$B$261,B108,TAX!$H$7:$H$261)-SUMIF(TAX!$B$7:$B$261,B108,TAX!$AA$7:$AA$261)</f>
        <v>0</v>
      </c>
      <c r="F108" s="240">
        <f>IF(B108=(OR(0=TRUE(),""=TRUE())),0,((SUMIF(TAX!$B$7:$B$137,ເອກະສານແຈ້ງອາກອນ!B108,TAX!$AO$7:$AO$137))))</f>
        <v>0</v>
      </c>
      <c r="G108" s="240">
        <f t="shared" si="13"/>
        <v>0</v>
      </c>
      <c r="H108" s="240">
        <f t="shared" si="14"/>
        <v>0</v>
      </c>
      <c r="I108" s="241">
        <f t="shared" si="15"/>
        <v>0</v>
      </c>
      <c r="J108" s="242">
        <f t="shared" si="16"/>
        <v>0</v>
      </c>
    </row>
    <row r="109" spans="1:10" ht="15.6">
      <c r="A109" s="249"/>
      <c r="B109" s="250"/>
      <c r="C109" s="251"/>
      <c r="D109" s="252"/>
      <c r="E109" s="253"/>
      <c r="F109" s="253"/>
      <c r="G109" s="253"/>
      <c r="H109" s="253"/>
      <c r="I109" s="254"/>
      <c r="J109" s="242"/>
    </row>
    <row r="110" spans="1:10" ht="15.6">
      <c r="A110" s="255"/>
      <c r="B110" s="256"/>
      <c r="C110" s="257">
        <v>2</v>
      </c>
      <c r="D110" s="258"/>
      <c r="E110" s="236">
        <f t="shared" ref="E110:J110" ca="1" si="17">SUBTOTAL(9,E111:E116)</f>
        <v>81680400</v>
      </c>
      <c r="F110" s="236">
        <f t="shared" ca="1" si="17"/>
        <v>0</v>
      </c>
      <c r="G110" s="236">
        <f t="shared" si="17"/>
        <v>0</v>
      </c>
      <c r="H110" s="236">
        <f t="shared" ca="1" si="17"/>
        <v>81680400</v>
      </c>
      <c r="I110" s="236">
        <f t="shared" ca="1" si="17"/>
        <v>4084020</v>
      </c>
      <c r="J110" s="236">
        <f t="shared" ca="1" si="17"/>
        <v>77596380</v>
      </c>
    </row>
    <row r="111" spans="1:10">
      <c r="A111" s="259">
        <f t="array" ref="A111:A112">_xlfn.SEQUENCE(COUNTA(B111:B116))</f>
        <v>1</v>
      </c>
      <c r="B111" s="260" t="str">
        <f t="array" ref="B111:B112">_xlfn._xlws.FILTER(TAX!B7:B54,TAX!F7:F54="ຕ່າງປະເທດ")</f>
        <v>MYL000001</v>
      </c>
      <c r="C111" s="261" t="str">
        <f t="array" ref="C111:D111">_xlfn.IFNA(VLOOKUP(B111,TAX!B:AH,{2,4},0),"")</f>
        <v>MR PHICHAI EIAMWATTANASILP</v>
      </c>
      <c r="D111" s="262" t="str">
        <v>Director</v>
      </c>
      <c r="E111" s="240">
        <f ca="1">SUMIF(TAX!$B$7:$B$261,B111,TAX!$H$7:$H$261)-SUMIF(TAX!$B$7:$B$261,B111,TAX!$AA$7:$AA$261)</f>
        <v>68067000</v>
      </c>
      <c r="F111" s="240">
        <f ca="1">IF(B111=(OR(0=TRUE(),""=TRUE())),0,((SUMIF(TAX!$B$7:$B$137,ເອກະສານແຈ້ງອາກອນ!B111,TAX!$AM$7:$AM$137))))</f>
        <v>0</v>
      </c>
      <c r="G111" s="240"/>
      <c r="H111" s="240">
        <f t="shared" ref="H111:H116" ca="1" si="18">E111+F111-G111</f>
        <v>68067000</v>
      </c>
      <c r="I111" s="241">
        <f t="shared" ref="I111:I116" ca="1" si="19">H111*5%</f>
        <v>3403350</v>
      </c>
      <c r="J111" s="263">
        <f t="shared" ref="J111:J116" ca="1" si="20">(E111+F111)-I111</f>
        <v>64663650</v>
      </c>
    </row>
    <row r="112" spans="1:10">
      <c r="A112" s="264">
        <v>2</v>
      </c>
      <c r="B112" s="265" t="str">
        <v>MYL000005</v>
      </c>
      <c r="C112" s="266" t="str">
        <f t="array" ref="C112:D112">_xlfn.IFNA(VLOOKUP(B112,TAX!B:AH,{2,4},0),"")</f>
        <v>MR WEERASIT LEEGCHOUR</v>
      </c>
      <c r="D112" s="267" t="str">
        <v>Deputy director 04</v>
      </c>
      <c r="E112" s="240">
        <f ca="1">SUMIF(TAX!$B$7:$B$261,B112,TAX!$H$7:$H$261)-SUMIF(TAX!$B$7:$B$261,B112,TAX!$AA$7:$AA$261)</f>
        <v>13613400</v>
      </c>
      <c r="F112" s="240">
        <f ca="1">IF(B112=(OR(0=TRUE(),""=TRUE())),0,((SUMIF(TAX!$B$7:$B$137,ເອກະສານແຈ້ງອາກອນ!B112,TAX!$AM$7:$AM$137))))</f>
        <v>0</v>
      </c>
      <c r="G112" s="240"/>
      <c r="H112" s="240">
        <f t="shared" ca="1" si="18"/>
        <v>13613400</v>
      </c>
      <c r="I112" s="241">
        <f t="shared" ca="1" si="19"/>
        <v>680670</v>
      </c>
      <c r="J112" s="268">
        <f t="shared" ca="1" si="20"/>
        <v>12932730</v>
      </c>
    </row>
    <row r="113" spans="1:10" hidden="1">
      <c r="A113" s="264"/>
      <c r="B113" s="265"/>
      <c r="C113" s="266" t="str">
        <f t="array" ref="C113">_xlfn.IFNA(VLOOKUP(B113,TAX!B:AH,{2,4},0),"")</f>
        <v/>
      </c>
      <c r="D113" s="267"/>
      <c r="E113" s="240">
        <f>SUMIF(TAX!$B$7:$B$261,B113,TAX!$H$7:$H$261)-SUMIF(TAX!$B$7:$B$261,B113,TAX!$AA$7:$AA$261)</f>
        <v>0</v>
      </c>
      <c r="F113" s="240">
        <f>IF(B113=(OR(0=TRUE(),""=TRUE())),0,((SUMIF(TAX!$B$7:$B$137,ເອກະສານແຈ້ງອາກອນ!B113,TAX!$AM$7:$AM$137))))</f>
        <v>0</v>
      </c>
      <c r="G113" s="240">
        <f>IF(E113+F113&gt;200001,200000,0)</f>
        <v>0</v>
      </c>
      <c r="H113" s="240">
        <f t="shared" si="18"/>
        <v>0</v>
      </c>
      <c r="I113" s="241">
        <f t="shared" si="19"/>
        <v>0</v>
      </c>
      <c r="J113" s="268">
        <f t="shared" si="20"/>
        <v>0</v>
      </c>
    </row>
    <row r="114" spans="1:10" hidden="1">
      <c r="A114" s="264"/>
      <c r="B114" s="265"/>
      <c r="C114" s="266" t="str">
        <f t="array" ref="C114">_xlfn.IFNA(VLOOKUP(B114,TAX!B:AH,{2,4},0),"")</f>
        <v/>
      </c>
      <c r="D114" s="267"/>
      <c r="E114" s="240">
        <f>SUMIF(TAX!$B$7:$B$261,B114,TAX!$H$7:$H$261)-SUMIF(TAX!$B$7:$B$261,B114,TAX!$AA$7:$AA$261)</f>
        <v>0</v>
      </c>
      <c r="F114" s="240">
        <f>IF(B114=(OR(0=TRUE(),""=TRUE())),0,((SUMIF(TAX!$B$7:$B$137,ເອກະສານແຈ້ງອາກອນ!B114,TAX!$AM$7:$AM$137))))</f>
        <v>0</v>
      </c>
      <c r="G114" s="240">
        <f>IF(E114+F114&gt;200001,200000,0)</f>
        <v>0</v>
      </c>
      <c r="H114" s="240">
        <f t="shared" si="18"/>
        <v>0</v>
      </c>
      <c r="I114" s="241">
        <f t="shared" si="19"/>
        <v>0</v>
      </c>
      <c r="J114" s="268">
        <f t="shared" si="20"/>
        <v>0</v>
      </c>
    </row>
    <row r="115" spans="1:10" hidden="1">
      <c r="A115" s="264"/>
      <c r="B115" s="265"/>
      <c r="C115" s="266" t="str">
        <f t="array" ref="C115">_xlfn.IFNA(VLOOKUP(B115,TAX!B:AH,{2,4},0),"")</f>
        <v/>
      </c>
      <c r="D115" s="267"/>
      <c r="E115" s="240">
        <f>SUMIF(TAX!$B$7:$B$261,B115,TAX!$H$7:$H$261)-SUMIF(TAX!$B$7:$B$261,B115,TAX!$AA$7:$AA$261)</f>
        <v>0</v>
      </c>
      <c r="F115" s="240">
        <f>IF(B115=(OR(0=TRUE(),""=TRUE())),0,((SUMIF(TAX!$B$7:$B$137,ເອກະສານແຈ້ງອາກອນ!B115,TAX!$AM$7:$AM$137))))</f>
        <v>0</v>
      </c>
      <c r="G115" s="240">
        <f>IF(E115+F115&gt;200001,200000,0)</f>
        <v>0</v>
      </c>
      <c r="H115" s="240">
        <f t="shared" si="18"/>
        <v>0</v>
      </c>
      <c r="I115" s="241">
        <f t="shared" si="19"/>
        <v>0</v>
      </c>
      <c r="J115" s="268">
        <f t="shared" si="20"/>
        <v>0</v>
      </c>
    </row>
    <row r="116" spans="1:10" hidden="1">
      <c r="A116" s="269"/>
      <c r="B116" s="270"/>
      <c r="C116" s="266" t="str">
        <f t="array" ref="C116">_xlfn.IFNA(VLOOKUP(B116,TAX!B:AH,{2,4},0),"")</f>
        <v/>
      </c>
      <c r="D116" s="271"/>
      <c r="E116" s="240">
        <f>SUMIF(TAX!$B$7:$B$261,B116,TAX!$H$7:$H$261)-SUMIF(TAX!$B$7:$B$261,B116,TAX!$AA$7:$AA$261)</f>
        <v>0</v>
      </c>
      <c r="F116" s="240">
        <f>IF(B116=(OR(0=TRUE(),""=TRUE())),0,((SUMIF(TAX!$B$7:$B$137,ເອກະສານແຈ້ງອາກອນ!B116,TAX!$AM$7:$AM$137))))</f>
        <v>0</v>
      </c>
      <c r="G116" s="240">
        <f>IF(E116+F116&gt;200001,200000,0)</f>
        <v>0</v>
      </c>
      <c r="H116" s="240">
        <f t="shared" si="18"/>
        <v>0</v>
      </c>
      <c r="I116" s="241">
        <f t="shared" si="19"/>
        <v>0</v>
      </c>
      <c r="J116" s="268">
        <f t="shared" si="20"/>
        <v>0</v>
      </c>
    </row>
    <row r="117" spans="1:10">
      <c r="A117" s="272"/>
      <c r="B117" s="273"/>
      <c r="C117" s="266"/>
      <c r="D117" s="271"/>
      <c r="E117" s="268"/>
      <c r="F117" s="268"/>
      <c r="G117" s="274"/>
      <c r="H117" s="268"/>
      <c r="I117" s="275"/>
      <c r="J117" s="268"/>
    </row>
    <row r="118" spans="1:10">
      <c r="A118" s="276"/>
      <c r="B118" s="343" t="s">
        <v>306</v>
      </c>
      <c r="C118" s="343"/>
      <c r="D118" s="277"/>
      <c r="E118" s="278">
        <f t="shared" ref="E118:J118" ca="1" si="21">SUBTOTAL(9,E111:E116,E9:E108)</f>
        <v>404068974.87876922</v>
      </c>
      <c r="F118" s="278">
        <f t="shared" ca="1" si="21"/>
        <v>140693549.48063082</v>
      </c>
      <c r="G118" s="278">
        <f t="shared" ca="1" si="21"/>
        <v>14000000</v>
      </c>
      <c r="H118" s="278">
        <f t="shared" ca="1" si="21"/>
        <v>530762524.35939968</v>
      </c>
      <c r="I118" s="278">
        <f t="shared" ca="1" si="21"/>
        <v>26538126.21797001</v>
      </c>
      <c r="J118" s="278">
        <f t="shared" ca="1" si="21"/>
        <v>518224398.1414302</v>
      </c>
    </row>
    <row r="119" spans="1:10">
      <c r="A119" s="279"/>
      <c r="B119" s="280"/>
      <c r="C119" s="281"/>
      <c r="D119" s="279"/>
      <c r="E119" s="279"/>
      <c r="F119" s="279"/>
      <c r="G119" s="282"/>
      <c r="H119" s="282"/>
      <c r="I119" s="344">
        <f ca="1">TODAY()</f>
        <v>46223</v>
      </c>
      <c r="J119" s="344"/>
    </row>
    <row r="120" spans="1:10" ht="18">
      <c r="A120" s="283"/>
      <c r="B120" s="284" t="s">
        <v>307</v>
      </c>
      <c r="C120" s="285"/>
      <c r="D120" s="286"/>
      <c r="E120" s="284" t="s">
        <v>308</v>
      </c>
      <c r="F120" s="287"/>
      <c r="G120" s="284"/>
      <c r="H120" s="70"/>
      <c r="I120" s="339" t="s">
        <v>309</v>
      </c>
      <c r="J120" s="339"/>
    </row>
  </sheetData>
  <autoFilter ref="A7:J120" xr:uid="{00000000-0009-0000-0000-000004000000}">
    <filterColumn colId="9">
      <filters blank="1">
        <filter val="10,034,927"/>
        <filter val="12,360,000"/>
        <filter val="12,935,390"/>
        <filter val="2,385,000"/>
        <filter val="3,335,000"/>
        <filter val="3,954,400"/>
        <filter val="37,522,631"/>
        <filter val="4,000,000"/>
        <filter val="4,011,400"/>
        <filter val="4,095,000"/>
        <filter val="4,159,600"/>
        <filter val="4,308,750"/>
        <filter val="4,310,781"/>
        <filter val="4,332,500"/>
        <filter val="4,356,250"/>
        <filter val="4,427,500"/>
        <filter val="4,665,000"/>
        <filter val="4,856,740"/>
        <filter val="4,973,750"/>
        <filter val="4,985,863"/>
        <filter val="467,744,397"/>
        <filter val="5,004,435"/>
        <filter val="5,083,000"/>
        <filter val="5,151,400"/>
        <filter val="5,184,156"/>
        <filter val="5,194,435"/>
        <filter val="5,526,175"/>
        <filter val="5,710,000"/>
        <filter val="5,958,900"/>
        <filter val="545,356,737"/>
        <filter val="6,429,150"/>
        <filter val="6,500,400"/>
        <filter val="6,512,750"/>
        <filter val="64,676,950"/>
        <filter val="64,686,950"/>
        <filter val="7,040,000"/>
        <filter val="7,610,000"/>
        <filter val="7,906,400"/>
        <filter val="7,990,000"/>
        <filter val="77,612,340"/>
        <filter val="8,381,400"/>
        <filter val="9,510,000"/>
        <filter val="9,755,246"/>
        <filter val="9,806,400"/>
      </filters>
    </filterColumn>
  </autoFilter>
  <mergeCells count="6">
    <mergeCell ref="I120:J120"/>
    <mergeCell ref="A1:J1"/>
    <mergeCell ref="A2:J2"/>
    <mergeCell ref="A3:C4"/>
    <mergeCell ref="B118:C118"/>
    <mergeCell ref="I119:J119"/>
  </mergeCells>
  <pageMargins left="0.25972222222222202" right="0.120138888888889" top="0.120138888888889" bottom="0.120138888888889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5"/>
  <sheetViews>
    <sheetView showGridLines="0" zoomScale="70" zoomScaleNormal="70" zoomScalePageLayoutView="70" workbookViewId="0">
      <selection activeCell="B6" sqref="B6"/>
    </sheetView>
  </sheetViews>
  <sheetFormatPr defaultColWidth="9.109375" defaultRowHeight="15"/>
  <cols>
    <col min="1" max="1" width="5.33203125" style="72" customWidth="1"/>
    <col min="2" max="2" width="9.109375" style="72"/>
    <col min="3" max="3" width="35.109375" style="72" bestFit="1" customWidth="1"/>
    <col min="4" max="4" width="23.44140625" style="72" customWidth="1"/>
    <col min="5" max="5" width="17.109375" style="72" customWidth="1"/>
    <col min="6" max="6" width="16.6640625" style="72" customWidth="1"/>
    <col min="7" max="7" width="15.33203125" style="72" bestFit="1" customWidth="1"/>
    <col min="8" max="8" width="16.5546875" style="72" bestFit="1" customWidth="1"/>
    <col min="9" max="9" width="15.33203125" style="72" customWidth="1"/>
    <col min="10" max="10" width="11" style="72" customWidth="1"/>
    <col min="11" max="11" width="10.109375" style="288" customWidth="1"/>
    <col min="12" max="12" width="40" style="72" customWidth="1"/>
    <col min="13" max="13" width="24.5546875" style="72" customWidth="1"/>
    <col min="14" max="14" width="6.44140625" style="72" customWidth="1"/>
    <col min="15" max="16384" width="9.109375" style="72"/>
  </cols>
  <sheetData>
    <row r="1" spans="2:34" ht="15.6">
      <c r="AH1" s="289" t="s">
        <v>310</v>
      </c>
    </row>
    <row r="2" spans="2:34">
      <c r="J2" s="290"/>
      <c r="K2" s="291"/>
      <c r="L2" s="68"/>
      <c r="M2" s="68"/>
      <c r="N2" s="68"/>
      <c r="O2" s="68"/>
      <c r="P2" s="68"/>
    </row>
    <row r="3" spans="2:34" ht="20.25" customHeight="1">
      <c r="B3" s="292"/>
      <c r="C3" s="293"/>
      <c r="D3" s="293"/>
      <c r="E3" s="294"/>
      <c r="F3" s="295" t="e">
        <v>#NAME?</v>
      </c>
      <c r="K3" s="291"/>
      <c r="L3" s="296"/>
      <c r="M3" s="296"/>
      <c r="N3" s="297"/>
      <c r="O3" s="68"/>
      <c r="P3" s="68"/>
    </row>
    <row r="4" spans="2:34" ht="25.5" customHeight="1">
      <c r="B4" s="345" t="s">
        <v>311</v>
      </c>
      <c r="C4" s="345"/>
      <c r="D4" s="345"/>
      <c r="E4" s="345"/>
      <c r="F4" s="289"/>
      <c r="K4" s="346"/>
      <c r="L4" s="346"/>
      <c r="M4" s="346"/>
      <c r="N4" s="346"/>
      <c r="O4" s="68"/>
      <c r="P4" s="68"/>
    </row>
    <row r="5" spans="2:34" ht="21">
      <c r="B5" s="347" t="s">
        <v>312</v>
      </c>
      <c r="C5" s="347"/>
      <c r="D5" s="347"/>
      <c r="E5" s="347"/>
      <c r="K5" s="348"/>
      <c r="L5" s="348"/>
      <c r="M5" s="348"/>
      <c r="N5" s="348"/>
      <c r="O5" s="68"/>
      <c r="P5" s="68"/>
      <c r="AB5" s="289" t="str">
        <f>"https://wa.me/856"&amp;"2092539860"</f>
        <v>https://wa.me/8562092539860</v>
      </c>
    </row>
    <row r="6" spans="2:34" ht="15.6">
      <c r="B6" s="298">
        <v>1</v>
      </c>
      <c r="C6" s="299" t="s">
        <v>313</v>
      </c>
      <c r="D6" s="349" t="s">
        <v>209</v>
      </c>
      <c r="E6" s="349"/>
      <c r="G6" s="72" t="s">
        <v>314</v>
      </c>
      <c r="H6" s="300">
        <v>3500000</v>
      </c>
      <c r="I6" s="301"/>
      <c r="K6" s="1"/>
      <c r="L6" s="302"/>
      <c r="M6" s="350"/>
      <c r="N6" s="350"/>
      <c r="O6" s="68"/>
      <c r="P6" s="68"/>
    </row>
    <row r="7" spans="2:34" ht="15.6">
      <c r="B7" s="298">
        <v>2</v>
      </c>
      <c r="C7" s="299" t="s">
        <v>315</v>
      </c>
      <c r="D7" s="353" t="s">
        <v>200</v>
      </c>
      <c r="E7" s="353"/>
      <c r="G7" s="72" t="s">
        <v>316</v>
      </c>
      <c r="H7" s="300">
        <v>26</v>
      </c>
      <c r="I7" s="301"/>
      <c r="K7" s="1"/>
      <c r="L7" s="302"/>
      <c r="M7" s="354"/>
      <c r="N7" s="354"/>
      <c r="O7" s="68"/>
      <c r="P7" s="68"/>
    </row>
    <row r="8" spans="2:34" ht="15.6">
      <c r="B8" s="298">
        <v>3</v>
      </c>
      <c r="C8" s="299" t="s">
        <v>317</v>
      </c>
      <c r="D8" s="355" t="s">
        <v>208</v>
      </c>
      <c r="E8" s="355"/>
      <c r="G8" s="72" t="s">
        <v>318</v>
      </c>
      <c r="H8" s="300">
        <f>H6/H7</f>
        <v>134615.38461538462</v>
      </c>
      <c r="K8" s="1"/>
      <c r="L8" s="302"/>
      <c r="M8" s="356"/>
      <c r="N8" s="356"/>
      <c r="O8" s="68"/>
      <c r="P8" s="68"/>
    </row>
    <row r="9" spans="2:34" ht="17.399999999999999">
      <c r="B9" s="357" t="s">
        <v>319</v>
      </c>
      <c r="C9" s="357"/>
      <c r="D9" s="357"/>
      <c r="E9" s="357"/>
      <c r="G9" s="72" t="s">
        <v>320</v>
      </c>
      <c r="H9" s="300">
        <v>3</v>
      </c>
      <c r="K9" s="358"/>
      <c r="L9" s="358"/>
      <c r="M9" s="358"/>
      <c r="N9" s="358"/>
      <c r="O9" s="68"/>
      <c r="P9" s="68"/>
    </row>
    <row r="10" spans="2:34" ht="18">
      <c r="B10" s="303">
        <v>1</v>
      </c>
      <c r="C10" s="304" t="str">
        <f t="array" ref="C10:C21">_xlfn.TOCOL(TAX!H6:S6)</f>
        <v>Basic Salary</v>
      </c>
      <c r="D10" s="305">
        <f>VLOOKUP($D$8,TAX!$B:$AF,7,0)</f>
        <v>2600000</v>
      </c>
      <c r="E10" s="306"/>
      <c r="H10" s="300">
        <f>H8*3</f>
        <v>403846.15384615387</v>
      </c>
      <c r="K10" s="307"/>
      <c r="L10" s="308"/>
      <c r="M10" s="309"/>
      <c r="N10" s="310"/>
      <c r="O10" s="68"/>
      <c r="P10" s="68"/>
    </row>
    <row r="11" spans="2:34" ht="18">
      <c r="B11" s="303">
        <v>2</v>
      </c>
      <c r="C11" s="304" t="str">
        <v>Overtime Pay</v>
      </c>
      <c r="D11" s="311">
        <f ca="1">VLOOKUP($D$8,TAX!$B:$X,8,0)</f>
        <v>93750</v>
      </c>
      <c r="E11" s="306"/>
      <c r="H11" s="300"/>
      <c r="K11" s="307"/>
      <c r="L11" s="308"/>
      <c r="M11" s="312"/>
      <c r="N11" s="310"/>
      <c r="O11" s="68"/>
      <c r="P11" s="68"/>
    </row>
    <row r="12" spans="2:34" ht="18">
      <c r="B12" s="303">
        <v>3</v>
      </c>
      <c r="C12" s="304" t="str">
        <v>Night Shift Allowance</v>
      </c>
      <c r="D12" s="311">
        <f ca="1">VLOOKUP($D$8,TAX!$B:$AG,9,0)</f>
        <v>86250</v>
      </c>
      <c r="E12" s="306"/>
      <c r="K12" s="313"/>
      <c r="L12" s="314"/>
      <c r="M12" s="315"/>
      <c r="N12" s="316"/>
    </row>
    <row r="13" spans="2:34" ht="18">
      <c r="B13" s="303">
        <v>4</v>
      </c>
      <c r="C13" s="304" t="str">
        <v>Safety Allowance</v>
      </c>
      <c r="D13" s="311">
        <f>VLOOKUP($D$8,TAX!$B:$AG,10,0)</f>
        <v>0</v>
      </c>
      <c r="E13" s="306"/>
      <c r="K13" s="313"/>
      <c r="L13" s="314"/>
      <c r="M13" s="315"/>
      <c r="N13" s="316"/>
    </row>
    <row r="14" spans="2:34" ht="18">
      <c r="B14" s="303">
        <v>5</v>
      </c>
      <c r="C14" s="304" t="str">
        <v>Cooperation Allowance</v>
      </c>
      <c r="D14" s="311">
        <f>VLOOKUP($D$8,TAX!$B:$AG,11,0)</f>
        <v>200000</v>
      </c>
      <c r="E14" s="306"/>
      <c r="K14" s="313"/>
      <c r="L14" s="314"/>
      <c r="M14" s="315"/>
      <c r="N14" s="316"/>
    </row>
    <row r="15" spans="2:34" ht="18">
      <c r="B15" s="303">
        <v>6</v>
      </c>
      <c r="C15" s="317" t="str">
        <v>Other Allowance</v>
      </c>
      <c r="D15" s="311">
        <f>VLOOKUP($D$8,TAX!$B:$AG,12,0)</f>
        <v>0</v>
      </c>
      <c r="E15" s="306"/>
      <c r="K15" s="313"/>
      <c r="L15" s="310"/>
      <c r="M15" s="315"/>
      <c r="N15" s="316"/>
    </row>
    <row r="16" spans="2:34" ht="18">
      <c r="B16" s="303">
        <v>7</v>
      </c>
      <c r="C16" s="304" t="str">
        <v>Diligence Allowance</v>
      </c>
      <c r="D16" s="311">
        <f>VLOOKUP($D$8,TAX!$B:$AG,13,0)</f>
        <v>250000</v>
      </c>
      <c r="E16" s="306"/>
      <c r="K16" s="313"/>
      <c r="L16" s="314"/>
      <c r="M16" s="315"/>
      <c r="N16" s="316"/>
    </row>
    <row r="17" spans="2:14" ht="18">
      <c r="B17" s="303">
        <v>8</v>
      </c>
      <c r="C17" s="304" t="str">
        <v>5S Allowance</v>
      </c>
      <c r="D17" s="311">
        <f>VLOOKUP($D$8,TAX!$B:$AG,14,0)</f>
        <v>150000</v>
      </c>
      <c r="E17" s="306"/>
      <c r="K17" s="313"/>
      <c r="L17" s="314"/>
      <c r="M17" s="315"/>
      <c r="N17" s="316"/>
    </row>
    <row r="18" spans="2:14" ht="18">
      <c r="B18" s="303">
        <v>9</v>
      </c>
      <c r="C18" s="304" t="str">
        <v>Housing Allowance</v>
      </c>
      <c r="D18" s="311">
        <f>VLOOKUP($D$8,TAX!$B:$AG,15,0)</f>
        <v>150000</v>
      </c>
      <c r="E18" s="306"/>
      <c r="K18" s="313"/>
      <c r="L18" s="314"/>
      <c r="M18" s="315"/>
      <c r="N18" s="316"/>
    </row>
    <row r="19" spans="2:14" ht="18">
      <c r="B19" s="303">
        <v>10</v>
      </c>
      <c r="C19" s="304" t="str">
        <v>Production Target Allowance</v>
      </c>
      <c r="D19" s="311">
        <f>VLOOKUP($D$8,TAX!$B:$AG,16,0)</f>
        <v>200000</v>
      </c>
      <c r="E19" s="306"/>
      <c r="K19" s="313"/>
      <c r="L19" s="314"/>
      <c r="M19" s="315"/>
      <c r="N19" s="316"/>
    </row>
    <row r="20" spans="2:14" ht="18">
      <c r="B20" s="303">
        <v>11</v>
      </c>
      <c r="C20" s="304" t="str">
        <v>Position Allowance</v>
      </c>
      <c r="D20" s="311">
        <f>VLOOKUP($D$8,TAX!$B:$AG,17,0)</f>
        <v>350000</v>
      </c>
      <c r="E20" s="306"/>
      <c r="K20" s="313"/>
      <c r="L20" s="314"/>
      <c r="M20" s="315"/>
      <c r="N20" s="316"/>
    </row>
    <row r="21" spans="2:14" ht="18">
      <c r="B21" s="303">
        <v>12</v>
      </c>
      <c r="C21" s="304" t="str">
        <v>Fuel Allowance</v>
      </c>
      <c r="D21" s="311">
        <f>VLOOKUP($D$8,TAX!$B:$AG,18,0)</f>
        <v>384615.38461538462</v>
      </c>
      <c r="E21" s="306"/>
      <c r="K21" s="313"/>
      <c r="L21" s="314"/>
      <c r="M21" s="315"/>
      <c r="N21" s="316"/>
    </row>
    <row r="22" spans="2:14" ht="15.6">
      <c r="B22" s="318"/>
      <c r="C22" s="319" t="s">
        <v>8</v>
      </c>
      <c r="D22" s="305">
        <f ca="1">SUM(D10:D21)</f>
        <v>4464615.384615385</v>
      </c>
      <c r="E22" s="306"/>
      <c r="K22" s="320"/>
      <c r="L22" s="319"/>
      <c r="M22" s="305"/>
      <c r="N22" s="316"/>
    </row>
    <row r="23" spans="2:14" ht="15.6">
      <c r="B23" s="351" t="s">
        <v>321</v>
      </c>
      <c r="C23" s="351"/>
      <c r="D23" s="351"/>
      <c r="E23" s="351"/>
      <c r="K23" s="352"/>
      <c r="L23" s="352"/>
      <c r="M23" s="352"/>
      <c r="N23" s="352"/>
    </row>
    <row r="24" spans="2:14" ht="18">
      <c r="B24" s="321">
        <v>1</v>
      </c>
      <c r="C24" s="316" t="str">
        <f t="array" ref="C24:C29">_xlfn.TOCOL(TAX!U6:Z6)</f>
        <v>Social Security</v>
      </c>
      <c r="D24" s="311">
        <f>VLOOKUP($D$8,TAX!$B:$AF,20,0)</f>
        <v>88000</v>
      </c>
      <c r="E24" s="306"/>
      <c r="K24" s="313"/>
      <c r="L24" s="316"/>
      <c r="M24" s="315"/>
      <c r="N24" s="316"/>
    </row>
    <row r="25" spans="2:14" ht="18">
      <c r="B25" s="321">
        <v>2</v>
      </c>
      <c r="C25" s="316" t="str">
        <v>Late Penalty (1-10 mins)</v>
      </c>
      <c r="D25" s="311">
        <f ca="1">VLOOKUP($D$8,TAX!$B:$AF,21,0)</f>
        <v>0</v>
      </c>
      <c r="E25" s="306"/>
      <c r="K25" s="313"/>
      <c r="L25" s="316"/>
      <c r="M25" s="315"/>
      <c r="N25" s="316"/>
    </row>
    <row r="26" spans="2:14" ht="18">
      <c r="B26" s="321">
        <v>3</v>
      </c>
      <c r="C26" s="316" t="str">
        <v>Late Penalty (10-30 mins)</v>
      </c>
      <c r="D26" s="311">
        <f ca="1">VLOOKUP($D$8,TAX!$B:$AF,22,0)</f>
        <v>0</v>
      </c>
      <c r="E26" s="306"/>
      <c r="K26" s="313"/>
      <c r="L26" s="316"/>
      <c r="M26" s="315"/>
      <c r="N26" s="316"/>
    </row>
    <row r="27" spans="2:14" ht="18">
      <c r="B27" s="321">
        <v>4</v>
      </c>
      <c r="C27" s="316" t="str">
        <v>Late Penalty (30+ mins)</v>
      </c>
      <c r="D27" s="311">
        <f ca="1">VLOOKUP($D$8,TAX!$B:$AF,23,0)</f>
        <v>0</v>
      </c>
      <c r="E27" s="306"/>
      <c r="K27" s="313"/>
      <c r="L27" s="316"/>
      <c r="M27" s="315"/>
      <c r="N27" s="316"/>
    </row>
    <row r="28" spans="2:14" ht="18">
      <c r="B28" s="321">
        <v>5</v>
      </c>
      <c r="C28" s="316" t="str">
        <v>Absence Deduction</v>
      </c>
      <c r="D28" s="311">
        <f ca="1">VLOOKUP($D$8,TAX!$B:$AF,24,0)</f>
        <v>0</v>
      </c>
      <c r="E28" s="306"/>
      <c r="K28" s="313"/>
      <c r="L28" s="316"/>
      <c r="M28" s="315"/>
      <c r="N28" s="316"/>
    </row>
    <row r="29" spans="2:14" ht="18">
      <c r="B29" s="321">
        <v>6</v>
      </c>
      <c r="C29" s="316" t="str">
        <v>incomplete Month Deduction</v>
      </c>
      <c r="D29" s="311">
        <f ca="1">VLOOKUP($D$8,TAX!$B:$AF,25,0)</f>
        <v>0</v>
      </c>
      <c r="E29" s="306"/>
      <c r="K29" s="313"/>
      <c r="L29" s="316"/>
      <c r="M29" s="315"/>
      <c r="N29" s="316"/>
    </row>
    <row r="30" spans="2:14" ht="18">
      <c r="B30" s="321">
        <v>7</v>
      </c>
      <c r="C30" s="322" t="s">
        <v>322</v>
      </c>
      <c r="D30" s="311">
        <f ca="1">VLOOKUP($D$8,TAX!$B:$AF,29,0)</f>
        <v>208830.76923076925</v>
      </c>
      <c r="E30" s="306"/>
      <c r="K30" s="313"/>
      <c r="L30" s="316"/>
      <c r="M30" s="315"/>
      <c r="N30" s="316"/>
    </row>
    <row r="31" spans="2:14" ht="17.399999999999999">
      <c r="B31" s="318"/>
      <c r="C31" s="319" t="s">
        <v>9</v>
      </c>
      <c r="D31" s="323">
        <f ca="1">D24+D25+D26+D27+D28+D29+D30</f>
        <v>296830.76923076925</v>
      </c>
      <c r="E31" s="306"/>
      <c r="F31" s="324">
        <f ca="1">D22*5%</f>
        <v>223230.76923076925</v>
      </c>
      <c r="K31" s="320"/>
      <c r="L31" s="319"/>
      <c r="M31" s="325"/>
      <c r="N31" s="316"/>
    </row>
    <row r="32" spans="2:14" ht="15.6">
      <c r="B32" s="318"/>
      <c r="C32" s="326" t="s">
        <v>10</v>
      </c>
      <c r="D32" s="305">
        <f ca="1">D22-D31</f>
        <v>4167784.615384616</v>
      </c>
      <c r="E32" s="306"/>
      <c r="K32" s="320"/>
      <c r="L32" s="326"/>
      <c r="M32" s="327"/>
      <c r="N32" s="316"/>
    </row>
    <row r="33" spans="1:14">
      <c r="B33" s="328"/>
      <c r="C33" s="329"/>
      <c r="D33" s="329"/>
      <c r="E33" s="330"/>
      <c r="K33" s="331"/>
      <c r="L33" s="332"/>
      <c r="M33" s="332"/>
      <c r="N33" s="332"/>
    </row>
    <row r="34" spans="1:14" ht="21">
      <c r="A34" s="333"/>
      <c r="B34" s="332"/>
      <c r="C34" s="334" t="s">
        <v>323</v>
      </c>
      <c r="D34" s="335" t="s">
        <v>324</v>
      </c>
      <c r="E34" s="332"/>
      <c r="K34" s="331"/>
      <c r="L34" s="332"/>
      <c r="M34" s="332"/>
      <c r="N34" s="332"/>
    </row>
    <row r="35" spans="1:14" ht="21">
      <c r="B35" s="336"/>
      <c r="E35" s="336"/>
      <c r="K35" s="337"/>
      <c r="L35" s="336"/>
      <c r="M35" s="336"/>
      <c r="N35" s="336"/>
    </row>
  </sheetData>
  <mergeCells count="14">
    <mergeCell ref="B23:E23"/>
    <mergeCell ref="K23:N23"/>
    <mergeCell ref="D7:E7"/>
    <mergeCell ref="M7:N7"/>
    <mergeCell ref="D8:E8"/>
    <mergeCell ref="M8:N8"/>
    <mergeCell ref="B9:E9"/>
    <mergeCell ref="K9:N9"/>
    <mergeCell ref="B4:E4"/>
    <mergeCell ref="K4:N4"/>
    <mergeCell ref="B5:E5"/>
    <mergeCell ref="K5:N5"/>
    <mergeCell ref="D6:E6"/>
    <mergeCell ref="M6:N6"/>
  </mergeCells>
  <hyperlinks>
    <hyperlink ref="AH1" r:id="rId1" xr:uid="{00000000-0004-0000-0500-000000000000}"/>
    <hyperlink ref="AB5" r:id="rId2" display="https://wa.me/8562092539860" xr:uid="{00000000-0004-0000-0500-000001000000}"/>
  </hyperlinks>
  <pageMargins left="0.7" right="0.7" top="0.75" bottom="0.75" header="0.511811023622047" footer="0.511811023622047"/>
  <pageSetup orientation="portrait" horizontalDpi="300" verticalDpi="30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/>
  </sheetViews>
  <sheetFormatPr defaultColWidth="10" defaultRowHeight="14.4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TAX</vt:lpstr>
      <vt:lpstr>OT</vt:lpstr>
      <vt:lpstr>เงินกะ</vt:lpstr>
      <vt:lpstr>ขาด-ลา-มาสาย</vt:lpstr>
      <vt:lpstr>ເອກະສານແຈ້ງອາກອນ</vt:lpstr>
      <vt:lpstr>SLIP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MIYAMOTO</dc:creator>
  <dc:description/>
  <cp:lastModifiedBy>Admin</cp:lastModifiedBy>
  <cp:revision>1</cp:revision>
  <cp:lastPrinted>2026-06-27T03:59:00Z</cp:lastPrinted>
  <dcterms:created xsi:type="dcterms:W3CDTF">2026-06-01T04:07:20Z</dcterms:created>
  <dcterms:modified xsi:type="dcterms:W3CDTF">2026-07-20T08:10:00Z</dcterms:modified>
  <dc:language>en-US</dc:language>
</cp:coreProperties>
</file>